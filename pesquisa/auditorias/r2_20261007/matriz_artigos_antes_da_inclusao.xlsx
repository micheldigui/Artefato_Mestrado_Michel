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4731645e7642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ágina1" sheetId="1" r:id="Rdf9d6a119ee04726"/>
    <x:sheet xmlns:r="http://schemas.openxmlformats.org/officeDocument/2006/relationships" name="Página2" sheetId="2" r:id="Rca9338d6c88d45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0"/>
      <x:color rgb="FF000000"/>
      <x:name val="Arial"/>
    </x:font>
    <x:font>
      <x:color theme="1"/>
      <x:name val="Arial"/>
    </x:font>
    <x:font>
      <x:color rgb="FF0000FF"/>
      <x:name val="Roboto"/>
    </x:font>
    <x:font>
      <x:color rgb="FF0000FF"/>
      <x:name val="Roboto"/>
    </x:font>
    <x:font>
      <x:sz val="12"/>
      <x:color theme="10"/>
      <x:name val="Calibri"/>
    </x:font>
  </x:fonts>
  <x:fills count="2">
    <x:fill>
      <x:patternFill patternType="none"/>
    </x:fill>
    <x:fill>
      <x:patternFill patternType="lightGray"/>
    </x:fill>
  </x:fills>
  <x:borders count="2">
    <x:border/>
    <x:border/>
  </x:borders>
  <x:cellStyleXfs count="2">
    <x:xf numFmtId="0" fontId="0" fillId="0" borderId="0"/>
    <x:xf numFmtId="0" fontId="4" fillId="0" borderId="1"/>
  </x:cellStyleXfs>
  <x:cellXfs count="15">
    <x:xf numFmtId="0" fontId="0" fillId="0" borderId="0" xfId="0" applyAlignment="1">
      <x:alignment vertical="bottom"/>
    </x:xf>
    <x:xf numFmtId="0" fontId="1" fillId="0" borderId="0" xfId="0" applyAlignment="1">
      <x:alignment horizontal="center" vertical="center" wrapText="1"/>
    </x:xf>
    <x:xf numFmtId="0" fontId="1" fillId="0" borderId="0" xfId="0" applyAlignment="1">
      <x:alignment horizontal="center" vertical="center" wrapText="1"/>
    </x:xf>
    <x:xf numFmtId="0" fontId="1" fillId="0" borderId="0" xfId="0" applyAlignment="1">
      <x:alignment horizontal="center" vertical="center" wrapText="1"/>
    </x:xf>
    <x:xf numFmtId="0" fontId="2" fillId="0" borderId="0" xfId="0" applyAlignment="1">
      <x:alignment horizontal="center" vertical="center" wrapText="1"/>
    </x:xf>
    <x:xf numFmtId="0" fontId="1" fillId="0" borderId="0" xfId="0" applyAlignment="1">
      <x:alignment horizontal="center" vertical="center" wrapText="1"/>
    </x:xf>
    <x:xf numFmtId="0" fontId="1" fillId="0" borderId="0" xfId="0" applyAlignment="1">
      <x:alignment horizontal="center" vertical="center" wrapText="1"/>
    </x:xf>
    <x:xf numFmtId="0" fontId="1" fillId="0" borderId="0" xfId="0" applyAlignment="1">
      <x:alignment vertical="center"/>
    </x:xf>
    <x:xf numFmtId="0" fontId="1" fillId="0" borderId="0" xfId="0" applyAlignment="1">
      <x:alignment horizontal="center" vertical="center" wrapText="1"/>
    </x:xf>
    <x:xf numFmtId="0" fontId="1" fillId="0" borderId="0" xfId="0" applyAlignment="1">
      <x:alignment horizontal="center" vertical="center" wrapText="1"/>
    </x:xf>
    <x:xf numFmtId="0" fontId="3" fillId="0" borderId="0" xfId="0" applyAlignment="1">
      <x:alignment horizontal="center" vertical="center" wrapText="1"/>
    </x:xf>
    <x:xf numFmtId="0" fontId="1" fillId="0" borderId="0" xfId="0" applyAlignment="1">
      <x:alignment horizontal="center" vertical="center" wrapText="1"/>
    </x:xf>
    <x:xf numFmtId="0" fontId="0" fillId="0" borderId="0" xfId="0"/>
    <x:xf numFmtId="0" fontId="0" fillId="0" borderId="0" xfId="0" applyAlignment="1">
      <x:alignment vertical="bottom"/>
    </x:xf>
    <x:xf numFmtId="0" fontId="4" fillId="0" borderId="1" xfId="1"/>
  </x:cellXfs>
  <x:cellStyles count="2">
    <x:cellStyle name="Normal" xfId="0"/>
    <x:cellStyle name="Hyperlink" xfId="1"/>
  </x:cellStyles>
  <x:dxfs count="11">
    <x:dxf>
      <x:fill>
        <x:patternFill patternType="none"/>
      </x:fill>
      <x:border/>
    </x:dxf>
    <x:dxf>
      <x:fill>
        <x:patternFill>
          <x:bgColor rgb="FF356854"/>
        </x:patternFill>
      </x:fill>
      <x:border/>
    </x:dxf>
    <x:dxf>
      <x:fill>
        <x:patternFill>
          <x:bgColor rgb="FFFFFFFF"/>
        </x:patternFill>
      </x:fill>
      <x:border/>
    </x:dxf>
    <x:dxf>
      <x:fill>
        <x:patternFill>
          <x:bgColor rgb="FFF6F8F9"/>
        </x:patternFill>
      </x:fill>
      <x:border/>
    </x:dxf>
    <x:dxf>
      <x:border>
        <x:left style="thin">
          <x:color rgb="FF356854"/>
        </x:left>
        <x:right style="thin">
          <x:color rgb="FF356854"/>
        </x:right>
        <x:top style="thin">
          <x:color rgb="FF356854"/>
        </x:top>
        <x:bottom style="thin">
          <x:color rgb="FF356854"/>
        </x:bottom>
      </x:border>
    </x:dxf>
    <x:dxf>
      <x:font>
        <x:b/>
        <x:color rgb="FF000000"/>
      </x:font>
      <x:fill>
        <x:patternFill>
          <x:bgColor rgb="FFB7E1CD"/>
        </x:patternFill>
      </x:fill>
      <x:border/>
    </x:dxf>
    <x:dxf>
      <x:font>
        <x:b/>
      </x:font>
      <x:fill>
        <x:patternFill>
          <x:bgColor rgb="FFF4C7C3"/>
        </x:patternFill>
      </x:fill>
      <x:border/>
    </x:dxf>
    <x:dxf>
      <x:font>
        <x:b/>
        <x:color rgb="FF0B8043"/>
      </x:font>
      <x:fill>
        <x:patternFill>
          <x:bgColor rgb="FFD9EAD3"/>
        </x:patternFill>
      </x:fill>
      <x:border/>
    </x:dxf>
    <x:dxf>
      <x:font>
        <x:b/>
        <x:color rgb="FF0000FF"/>
      </x:font>
      <x:fill>
        <x:patternFill>
          <x:bgColor rgb="FFB7E1CD"/>
        </x:patternFill>
      </x:fill>
      <x:border/>
    </x:dxf>
    <x:dxf>
      <x:font>
        <x:b/>
      </x:font>
      <x:fill>
        <x:patternFill>
          <x:bgColor rgb="FFFCE8B2"/>
        </x:patternFill>
      </x:fill>
      <x:border/>
    </x:dxf>
    <x:dxf>
      <x:font>
        <x:b/>
        <x:color rgb="FFFF0000"/>
      </x:font>
      <x:fill>
        <x:patternFill>
          <x:bgColor rgb="FFF4C7C3"/>
        </x:patternFill>
      </x:fill>
      <x:border/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b674ca8f9f4b75" /><Relationship Type="http://schemas.openxmlformats.org/officeDocument/2006/relationships/theme" Target="/xl/theme/theme1.xml" Id="Rdddda703b7134fb4" /><Relationship Type="http://schemas.openxmlformats.org/officeDocument/2006/relationships/sharedStrings" Target="/xl/sharedStrings.xml" Id="R429ce64b73064bb5" /><Relationship Type="http://schemas.openxmlformats.org/officeDocument/2006/relationships/worksheet" Target="/xl/worksheets/sheet1.xml" Id="Rdf9d6a119ee04726" /><Relationship Type="http://schemas.openxmlformats.org/officeDocument/2006/relationships/worksheet" Target="/xl/worksheets/sheet2.xml" Id="Rca9338d6c88d4574" /></Relationships>
</file>

<file path=xl/tables/table1.xml><?xml version="1.0" encoding="utf-8"?>
<x:table xmlns:x="http://schemas.openxmlformats.org/spreadsheetml/2006/main" id="1" name="artigos" displayName="artigos" ref="A1:R76" headerRowCount="1" totalsRowCount="0">
  <x:autoFilter ref="A1:R76"/>
  <x:tableColumns count="18">
    <x:tableColumn id="1" name="ID"/>
    <x:tableColumn id="2" name="Link"/>
    <x:tableColumn id="3" name="Título em português"/>
    <x:tableColumn id="4" name="Título em inglês"/>
    <x:tableColumn id="5" name="Ano/data"/>
    <x:tableColumn id="6" name="Autores"/>
    <x:tableColumn id="7" name="Tipo de documento"/>
    <x:tableColumn id="8" name="Fonte/evento"/>
    <x:tableColumn id="9" name="DOI"/>
    <x:tableColumn id="10" name="Relação 0-52"/>
    <x:tableColumn id="11" name="Tipo de relação"/>
    <x:tableColumn id="12" name="Parte da dissertação"/>
    <x:tableColumn id="13" name="Conexão com o projeto"/>
    <x:tableColumn id="14" name="Evidências aproveitáveis"/>
    <x:tableColumn id="15" name="Trechos/ideias para usar"/>
    <x:tableColumn id="16" name="Frase possível para dissertação"/>
    <x:tableColumn id="17" name="Cuidados/limitações"/>
    <x:tableColumn id="18" name="Relevância final"/>
  </x:tableColumns>
  <x:tableStyleInfo name="Página1-style" showFirstColumn="1" showLastColumn="1" showRowStripes="1" showColumnStripes="0"/>
</x:table>
</file>

<file path=xl/tables/table2.xml><?xml version="1.0" encoding="utf-8"?>
<x:table xmlns:x="http://schemas.openxmlformats.org/spreadsheetml/2006/main" id="2" name="aproveitar_fortemente" displayName="aproveitar_fortemente" ref="A8:E28" headerRowCount="1" totalsRowCount="0">
  <x:tableColumns count="5">
    <x:tableColumn id="1" name="ID"/>
    <x:tableColumn id="2" name="Título original"/>
    <x:tableColumn id="3" name="Título em português"/>
    <x:tableColumn id="4" name="Limk"/>
    <x:tableColumn id="5" name="Status"/>
  </x:tableColumns>
  <x:tableStyleInfo name="Página2-style" showFirstColumn="1" showLastColumn="1" showRowStripes="1" showColumnStripes="0"/>
</x:table>
</file>

<file path=xl/tables/table3.xml><?xml version="1.0" encoding="utf-8"?>
<x:table xmlns:x="http://schemas.openxmlformats.org/spreadsheetml/2006/main" id="3" name="aproveitar_parcialmente" displayName="aproveitar_parcialmente" ref="A32:E58" headerRowCount="1">
  <x:tableColumns count="5">
    <x:tableColumn id="1" name="ID"/>
    <x:tableColumn id="2" name="Título original"/>
    <x:tableColumn id="3" name="Título em português"/>
    <x:tableColumn id="4" name="Link"/>
    <x:tableColumn id="5" name="Status"/>
  </x:tableColumns>
  <x:tableStyleInfo name="Página2-style 2" showFirstColumn="1" showLastColumn="1" showRowStripes="1" showColumnStripes="0"/>
</x:table>
</file>

<file path=xl/tables/table4.xml><?xml version="1.0" encoding="utf-8"?>
<x:table xmlns:x="http://schemas.openxmlformats.org/spreadsheetml/2006/main" id="4" name="apoio_pontual" displayName="apoio_pontual" ref="A62:E78" headerRowCount="1">
  <x:tableColumns count="5">
    <x:tableColumn id="1" name="ID"/>
    <x:tableColumn id="2" name="Título original"/>
    <x:tableColumn id="3" name="Título em português"/>
    <x:tableColumn id="4" name="Link"/>
    <x:tableColumn id="5" name="Status"/>
  </x:tableColumns>
  <x:tableStyleInfo name="Página2-style 3" showFirstColumn="1" showLastColumn="1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drive.google.com/file/d/1Md7LRj-NWJHcj94O7dT3jeI4UYbp3edZ/view?usp=drive_link" TargetMode="External" Id="Ra5969bac719a4dd7" /><Relationship Type="http://schemas.openxmlformats.org/officeDocument/2006/relationships/hyperlink" Target="https://drive.google.com/file/d/11TpJNtDsSGF9CJytfCgb8b3sKoC0A4W5/view?usp=drive_link" TargetMode="External" Id="Ra0a0633508614c01" /><Relationship Type="http://schemas.openxmlformats.org/officeDocument/2006/relationships/hyperlink" Target="https://doi.org/10.3390/su17020379" TargetMode="External" Id="Rc4c441409318435c" /><Relationship Type="http://schemas.openxmlformats.org/officeDocument/2006/relationships/hyperlink" Target="https://drive.google.com/file/d/1NOnyr45614f6AhZjol_PFmqayFMFSfjN/view?usp=drive_link" TargetMode="External" Id="Rf604b8758a2941fb" /><Relationship Type="http://schemas.openxmlformats.org/officeDocument/2006/relationships/hyperlink" Target="https://drive.google.com/file/d/1tgmp0ImH30JNuuF1-Pz7m2ElsJxlH52G/view?usp=drive_link" TargetMode="External" Id="R76d479a86ea34e25" /><Relationship Type="http://schemas.openxmlformats.org/officeDocument/2006/relationships/hyperlink" Target="https://drive.google.com/file/d/1LPA7UacH7dhulfsyDfn1pQPvJd16h4gH/view?usp=sharing" TargetMode="External" Id="R14f5b461b4b143c0" /><Relationship Type="http://schemas.openxmlformats.org/officeDocument/2006/relationships/hyperlink" Target="https://doi.org/10.1016/j.jclepro.2020.122861" TargetMode="External" Id="Ra48129ab2b104fa0" /><Relationship Type="http://schemas.openxmlformats.org/officeDocument/2006/relationships/hyperlink" Target="https://drive.google.com/file/d/1xWnORWGN3hTbyCxLP0EyPX5S6Bum3zQF/view?usp=drive_link" TargetMode="External" Id="Rc618196209164617" /><Relationship Type="http://schemas.openxmlformats.org/officeDocument/2006/relationships/hyperlink" Target="https://doi.org/10.1016/j.cities.2022.103925" TargetMode="External" Id="Rd9a58a9dda38435a" /><Relationship Type="http://schemas.openxmlformats.org/officeDocument/2006/relationships/hyperlink" Target="https://doi.org/10.31763/ijrcs.v3i2.939" TargetMode="External" Id="Rcf48d1ccd79d4ad5" /><Relationship Type="http://schemas.openxmlformats.org/officeDocument/2006/relationships/hyperlink" Target="https://drive.google.com/file/d/1g4GKUuUUrcXTtPySYjB3RuTCa0tfy_JT/view?usp=drive_link" TargetMode="External" Id="Reba1267c78174854" /><Relationship Type="http://schemas.openxmlformats.org/officeDocument/2006/relationships/hyperlink" Target="https://doi.org/10.4018/JCIT.296254" TargetMode="External" Id="Rb7fcaef3053f4064" /><Relationship Type="http://schemas.openxmlformats.org/officeDocument/2006/relationships/hyperlink" Target="https://drive.google.com/file/d/1gR-PKbuNRDWrZ74_kdu6iPYKm8hJ0XqN/view?usp=drive_link" TargetMode="External" Id="R8c90fbfdbad6432a" /><Relationship Type="http://schemas.openxmlformats.org/officeDocument/2006/relationships/hyperlink" Target="https://doi.org/10.1016/j.heliyon.2018.e00938" TargetMode="External" Id="Rd1ee950fd3214b71" /><Relationship Type="http://schemas.openxmlformats.org/officeDocument/2006/relationships/hyperlink" Target="https://drive.google.com/file/d/1PXlXJ7_MOZJfvYgGF0Fkuo3eafh9njdn/view?usp=sharing" TargetMode="External" Id="R636c0bbfd3be4fde" /><Relationship Type="http://schemas.openxmlformats.org/officeDocument/2006/relationships/hyperlink" Target="https://doi.org/10.3390/ijerph18126389" TargetMode="External" Id="R46c6e1da65364216" /><Relationship Type="http://schemas.openxmlformats.org/officeDocument/2006/relationships/hyperlink" Target="https://drive.google.com/file/d/1xeyDuMnVSW7VBtxFnZ4uLNXZKDSwt7R6/view?usp=drive_link" TargetMode="External" Id="R865fdd83a7df4b41" /><Relationship Type="http://schemas.openxmlformats.org/officeDocument/2006/relationships/hyperlink" Target="https://doi.org/10.1145/3448250" TargetMode="External" Id="R980221fcf9a64523" /><Relationship Type="http://schemas.openxmlformats.org/officeDocument/2006/relationships/hyperlink" Target="https://drive.google.com/file/d/1OKKTmgRC-93zjpFZ-43F6u-VTxewf73C/view?usp=drive_link" TargetMode="External" Id="R71e21ef60f9f4771" /><Relationship Type="http://schemas.openxmlformats.org/officeDocument/2006/relationships/hyperlink" Target="https://doi.org/10.1016/j.dsm.2021.02.002" TargetMode="External" Id="R9be3110d09ac4712" /><Relationship Type="http://schemas.openxmlformats.org/officeDocument/2006/relationships/hyperlink" Target="https://drive.google.com/file/d/1M6Th0Y2zfTKVoSH7jvNqTglt422yUntz/view?usp=drive_link" TargetMode="External" Id="Ra959f3d8b87247d0" /><Relationship Type="http://schemas.openxmlformats.org/officeDocument/2006/relationships/hyperlink" Target="https://doi.org/10.1145/3641289" TargetMode="External" Id="Rb752ae06fbae45b4" /><Relationship Type="http://schemas.openxmlformats.org/officeDocument/2006/relationships/hyperlink" Target="https://drive.google.com/file/d/1QaypwMWOLMLaG6b82wGfuNLfB1k3VxT1/view?usp=drive_link" TargetMode="External" Id="Rc5d6dae3669e4ecf" /><Relationship Type="http://schemas.openxmlformats.org/officeDocument/2006/relationships/hyperlink" Target="https://doi.org/10.1109/ACCESS.2024.3365742" TargetMode="External" Id="R7ad2ece042fe4bcc" /><Relationship Type="http://schemas.openxmlformats.org/officeDocument/2006/relationships/hyperlink" Target="https://drive.google.com/file/d/1NgAlZX8QF-C0saIMyNjrnCrc-nHeNwJH/view?usp=drive_link" TargetMode="External" Id="Ra4b67c489dd24ac7" /><Relationship Type="http://schemas.openxmlformats.org/officeDocument/2006/relationships/hyperlink" Target="https://doi.org/10.5539/ijbm.v19n4p80" TargetMode="External" Id="R3103b66d41414139" /><Relationship Type="http://schemas.openxmlformats.org/officeDocument/2006/relationships/hyperlink" Target="https://drive.google.com/file/d/1fxrfmcZ4p1kKb_KAqy2QO4ZCTpMRpVut/view?usp=sharing" TargetMode="External" Id="R9fb6306fd6a64003" /><Relationship Type="http://schemas.openxmlformats.org/officeDocument/2006/relationships/hyperlink" Target="https://doi.org/10.3389/frai.2021.576892" TargetMode="External" Id="Re330d51c50974961" /><Relationship Type="http://schemas.openxmlformats.org/officeDocument/2006/relationships/hyperlink" Target="https://drive.google.com/file/d/119_LNDmsD4hRo3LTzLHVrWEo1bqdnzjj/view?usp=drive_link" TargetMode="External" Id="R0c923e8b97844444" /><Relationship Type="http://schemas.openxmlformats.org/officeDocument/2006/relationships/hyperlink" Target="https://drive.google.com/file/d/16cjE6fTeAoxxHcaEcNIHEkoHE38CR5rm/view?usp=drive_link" TargetMode="External" Id="R41d0ec3dbbb7412b" /><Relationship Type="http://schemas.openxmlformats.org/officeDocument/2006/relationships/hyperlink" Target="https://doi.org/10.1016/j.jmsy.2024.02.010" TargetMode="External" Id="R7a04ab8426eb4fb7" /><Relationship Type="http://schemas.openxmlformats.org/officeDocument/2006/relationships/hyperlink" Target="https://drive.google.com/file/d/1WJLIpWiCgRMZl3l_dL9HuDwiHBmzmFWp/view?usp=drive_link" TargetMode="External" Id="R2290c3b920684feb" /><Relationship Type="http://schemas.openxmlformats.org/officeDocument/2006/relationships/hyperlink" Target="https://doi.org/10.1093/jamia/ocae209" TargetMode="External" Id="R48b8e0fdcf6f483f" /><Relationship Type="http://schemas.openxmlformats.org/officeDocument/2006/relationships/hyperlink" Target="https://drive.google.com/file/d/11whpocAqSIMrO3617LD3N_kPd_-5odBp/view?usp=drive_link" TargetMode="External" Id="R272c5c68b03244aa" /><Relationship Type="http://schemas.openxmlformats.org/officeDocument/2006/relationships/hyperlink" Target="https://doi.org/10.1093/jamia/ocaf038" TargetMode="External" Id="Raa4f676f6a404c95" /><Relationship Type="http://schemas.openxmlformats.org/officeDocument/2006/relationships/hyperlink" Target="https://drive.google.com/file/d/1UfUs_T8oiGavDT-qSll4ru2zwe3PNmFS/view?usp=drive_link" TargetMode="External" Id="Rf00330aa8770427d" /><Relationship Type="http://schemas.openxmlformats.org/officeDocument/2006/relationships/hyperlink" Target="https://doi.org/10.1016/j.jclepro.2023.140265" TargetMode="External" Id="R8a7911e9bb8441a1" /><Relationship Type="http://schemas.openxmlformats.org/officeDocument/2006/relationships/hyperlink" Target="https://drive.google.com/file/d/15Hpk8w_p97tchNQUiGmzW1kqucFKPihb/view?usp=drive_link" TargetMode="External" Id="R58a0da6df8774686" /><Relationship Type="http://schemas.openxmlformats.org/officeDocument/2006/relationships/hyperlink" Target="https://doi.org/10.1371/journal.pone.0300531" TargetMode="External" Id="R9dd37edb412f42f0" /><Relationship Type="http://schemas.openxmlformats.org/officeDocument/2006/relationships/hyperlink" Target="https://drive.google.com/file/d/1yiIaS2n208CY-1r7Yfrob0wd4aWUoOox/view?usp=sharing" TargetMode="External" Id="R400593b194f54897" /><Relationship Type="http://schemas.openxmlformats.org/officeDocument/2006/relationships/hyperlink" Target="https://drive.google.com/file/d/1ZLwP7uOPLPO5Az6aP-GNuP6LAYZVEbG3/view?usp=drive_link" TargetMode="External" Id="R7d3e42ec25e94ea2" /><Relationship Type="http://schemas.openxmlformats.org/officeDocument/2006/relationships/hyperlink" Target="https://drive.google.com/file/d/1VGMyPqKCXAYx9NwD7QIs0KDr2Esnpzf-/view?usp=sharing" TargetMode="External" Id="Reb0a8ed769204494" /><Relationship Type="http://schemas.openxmlformats.org/officeDocument/2006/relationships/hyperlink" Target="https://doi.org/10.1016/j.wasman.2018.05.024" TargetMode="External" Id="R1ae86846000542c5" /><Relationship Type="http://schemas.openxmlformats.org/officeDocument/2006/relationships/hyperlink" Target="https://drive.google.com/file/d/1KdI5tZX-_miUUSM7srvbneWtSfl0VpNt/view?usp=sharing" TargetMode="External" Id="Rfb80d13544804c82" /><Relationship Type="http://schemas.openxmlformats.org/officeDocument/2006/relationships/hyperlink" Target="https://doi.org/10.1016/j.dib.2021.107138" TargetMode="External" Id="Ra7ee508202944f97" /><Relationship Type="http://schemas.openxmlformats.org/officeDocument/2006/relationships/hyperlink" Target="https://drive.google.com/file/d/15j6IkDcnyFa-1k5fPjx9JIin874SeqQY/view?usp=drive_link" TargetMode="External" Id="R21e3cc40cb0c4fed" /><Relationship Type="http://schemas.openxmlformats.org/officeDocument/2006/relationships/hyperlink" Target="https://doi.org/10.1016/j.jclepro.2022.131206" TargetMode="External" Id="Rbed3dd9b28124f18" /><Relationship Type="http://schemas.openxmlformats.org/officeDocument/2006/relationships/hyperlink" Target="https://drive.google.com/file/d/1vybFj-dz6HlGwNw19-esw3pmGUrxW38j/view?usp=drive_link" TargetMode="External" Id="R772ddf32df344937" /><Relationship Type="http://schemas.openxmlformats.org/officeDocument/2006/relationships/hyperlink" Target="https://doi.org/10.1016/j.tifs.2024.104687" TargetMode="External" Id="R83d1bf258c0941b5" /><Relationship Type="http://schemas.openxmlformats.org/officeDocument/2006/relationships/hyperlink" Target="https://drive.google.com/file/d/1pCFSdaPjZ95mgnQva7uClc_QhyE0bhHf/view?usp=drive_link" TargetMode="External" Id="R0ce475800e7540ff" /><Relationship Type="http://schemas.openxmlformats.org/officeDocument/2006/relationships/hyperlink" Target="https://doi.org/10.1016/j.tifs.2025.104970" TargetMode="External" Id="R6f42a11c7af24951" /><Relationship Type="http://schemas.openxmlformats.org/officeDocument/2006/relationships/hyperlink" Target="https://drive.google.com/file/d/1qSYcKlV5QbgXK0tQuZ2w1__ev4NJgdCW/view?usp=drive_link" TargetMode="External" Id="R784bb8f46ee74a1e" /><Relationship Type="http://schemas.openxmlformats.org/officeDocument/2006/relationships/hyperlink" Target="https://drive.google.com/file/d/183a73hPBTP9Y-IdKkTYKt89Z4D76I-KP/view?usp=drive_link" TargetMode="External" Id="R805acc1ffcf34f38" /><Relationship Type="http://schemas.openxmlformats.org/officeDocument/2006/relationships/hyperlink" Target="https://doi.org/10.1016/j.seps.2021.101041" TargetMode="External" Id="Rd58df1911a4e4e38" /><Relationship Type="http://schemas.openxmlformats.org/officeDocument/2006/relationships/hyperlink" Target="https://drive.google.com/file/d/1BNrzZQmLak8doEfdHeUb-rBsiKBJSqt2/view?usp=drive_link" TargetMode="External" Id="Rd5004c1afc19451f" /><Relationship Type="http://schemas.openxmlformats.org/officeDocument/2006/relationships/hyperlink" Target="https://doi.org/10.1016/j.jclepro.2024.140632" TargetMode="External" Id="R3776335035c84bbd" /><Relationship Type="http://schemas.openxmlformats.org/officeDocument/2006/relationships/hyperlink" Target="https://drive.google.com/file/d/1uqWoC4Zy_YTeKSf5YzjRbW983_Mxwd1h/view?usp=drive_link" TargetMode="External" Id="R46b7c675994b4cd8" /><Relationship Type="http://schemas.openxmlformats.org/officeDocument/2006/relationships/hyperlink" Target="http://dx.doi.org/10.1016/j.jand.2017.04.016" TargetMode="External" Id="R6b22ef84f0034eb7" /><Relationship Type="http://schemas.openxmlformats.org/officeDocument/2006/relationships/hyperlink" Target="https://drive.google.com/file/d/1Yb-YVXmsJ7yYzNSjXDWVfprmymuGjV9X/view?usp=drive_link" TargetMode="External" Id="Rfd9d9ce5046b4927" /><Relationship Type="http://schemas.openxmlformats.org/officeDocument/2006/relationships/hyperlink" Target="https://doi.org/10.3390/nu14030587" TargetMode="External" Id="Rbafea266856c4fbc" /><Relationship Type="http://schemas.openxmlformats.org/officeDocument/2006/relationships/hyperlink" Target="https://drive.google.com/file/d/1pl_RKtS-Wod521OrOBNr2TKZJutbPWvS/view?usp=drive_link" TargetMode="External" Id="Rc6326a2ed49342f6" /><Relationship Type="http://schemas.openxmlformats.org/officeDocument/2006/relationships/hyperlink" Target="https://doi.org/10.1089/chi.2015.0019" TargetMode="External" Id="R1d6c32bb712d43ab" /><Relationship Type="http://schemas.openxmlformats.org/officeDocument/2006/relationships/hyperlink" Target="https://drive.google.com/file/d/1V0S9JbOrc2Tkyg7J1IGSdIW6_Dg7ThqQ/view?usp=drive_link" TargetMode="External" Id="Rd387e1d545924900" /><Relationship Type="http://schemas.openxmlformats.org/officeDocument/2006/relationships/hyperlink" Target="https://doi.org/10.1016/j.heliyon.2023.e20327" TargetMode="External" Id="Reb532842f3a74a42" /><Relationship Type="http://schemas.openxmlformats.org/officeDocument/2006/relationships/hyperlink" Target="https://drive.google.com/file/d/1tedvfqDqn1dsGs9RhmePg5hT9J---uYF/view?usp=drive_link" TargetMode="External" Id="Rbf05d6b68fa54e51" /><Relationship Type="http://schemas.openxmlformats.org/officeDocument/2006/relationships/hyperlink" Target="https://doi.org/10.1016/j.cesys.2025.100302" TargetMode="External" Id="R9be47880a2fb4e47" /><Relationship Type="http://schemas.openxmlformats.org/officeDocument/2006/relationships/hyperlink" Target="https://drive.google.com/file/d/1IqJynHAfsSEsLMif2W50GDu-f78wwOtn/view?usp=drive_link" TargetMode="External" Id="R584ddf6f5c3e41c5" /><Relationship Type="http://schemas.openxmlformats.org/officeDocument/2006/relationships/hyperlink" Target="https://doi.org/10.1016/j.cec.2024.100088" TargetMode="External" Id="Rd29d102bf2314393" /><Relationship Type="http://schemas.openxmlformats.org/officeDocument/2006/relationships/hyperlink" Target="https://drive.google.com/file/d/1_WJZ1SR2THs0UPIGjKNvY57ZyTNoFeZD/view?usp=drive_link" TargetMode="External" Id="R43725052e37e4796" /><Relationship Type="http://schemas.openxmlformats.org/officeDocument/2006/relationships/hyperlink" Target="https://doi.org/10.1016/j.foohum.2024.100405" TargetMode="External" Id="Rf5ee530bd182406f" /><Relationship Type="http://schemas.openxmlformats.org/officeDocument/2006/relationships/hyperlink" Target="https://drive.google.com/file/d/1jVkLDrQ3E9cNS4SiaNRMc0vb61km4M8h/view?usp=sharing" TargetMode="External" Id="R3d6f3f9ab0ed4d83" /><Relationship Type="http://schemas.openxmlformats.org/officeDocument/2006/relationships/hyperlink" Target="https://drive.google.com/file/d/1WZ0dRBT3WU4MNThUBOL9OSbBD6a9ig1l/view?usp=drive_link" TargetMode="External" Id="Rbfa89691ead2439b" /><Relationship Type="http://schemas.openxmlformats.org/officeDocument/2006/relationships/hyperlink" Target="https://drive.google.com/file/d/1me78Xtm9FkEdVhXKSt3TGJ9WfjPLb0OC/view?usp=sharing" TargetMode="External" Id="Rd7d73ee9c4ce46ce" /><Relationship Type="http://schemas.openxmlformats.org/officeDocument/2006/relationships/hyperlink" Target="https://doi.org/10.17705/1CAIS.04845" TargetMode="External" Id="Rfed2cf2050704875" /><Relationship Type="http://schemas.openxmlformats.org/officeDocument/2006/relationships/hyperlink" Target="https://drive.google.com/file/d/1qwRXOfTN3uR8H6uo6RlS-sQRaxyzHdaz/view?usp=drive_link" TargetMode="External" Id="Raf5b8d73f53249ca" /><Relationship Type="http://schemas.openxmlformats.org/officeDocument/2006/relationships/hyperlink" Target="https://drive.google.com/file/d/1VQzwoXWog8R8gLcTf9fAB28Xz22GcdoV/view?usp=drive_link" TargetMode="External" Id="Rb6a2b77f953143b9" /><Relationship Type="http://schemas.openxmlformats.org/officeDocument/2006/relationships/hyperlink" Target="https://drive.google.com/file/d/1XBht6EwsTYIYU_Y7_pUekMHrjFXwUZlb/view?usp=drive_link" TargetMode="External" Id="R6066007e5c204435" /><Relationship Type="http://schemas.openxmlformats.org/officeDocument/2006/relationships/hyperlink" Target="https://drive.google.com/file/d/1s9kSCCnasbSeN8cpYSE06BqLE2ABKqGd/view?usp=drive_link" TargetMode="External" Id="Rfb7f8f1f24424616" /><Relationship Type="http://schemas.openxmlformats.org/officeDocument/2006/relationships/hyperlink" Target="https://drive.google.com/file/d/1vXGODMdSIZ152UodakUmAfy0pzV7exYY/view?usp=drive_link" TargetMode="External" Id="Rdd3d3a3c2ac34540" /><Relationship Type="http://schemas.openxmlformats.org/officeDocument/2006/relationships/hyperlink" Target="https://drive.google.com/file/d/1fnj2tZquh75LF_z3bHQjDfgpdGV9SIVs/view?usp=drive_link" TargetMode="External" Id="Rd7640176d5554501" /><Relationship Type="http://schemas.openxmlformats.org/officeDocument/2006/relationships/hyperlink" Target="https://drive.google.com/file/d/1fwpusBVCUbvd1mdD5qMqQcgUOIkQ67Dx/view?usp=drive_link" TargetMode="External" Id="Rcf32bc7fe34141fb" /><Relationship Type="http://schemas.openxmlformats.org/officeDocument/2006/relationships/hyperlink" Target="https://drive.google.com/file/d/1z9ZCV6VR0P3g1RfQNhV-r7-2ksZtzaE_/view?usp=drive_link" TargetMode="External" Id="R09627bfd99be44be" /><Relationship Type="http://schemas.openxmlformats.org/officeDocument/2006/relationships/hyperlink" Target="https://drive.google.com/file/d/1Y2s4GU0lTMV4NVIiDFshNM9xDlwXXZP_/view?usp=drive_link" TargetMode="External" Id="Rb0e3ad89bb174138" /><Relationship Type="http://schemas.openxmlformats.org/officeDocument/2006/relationships/hyperlink" Target="https://drive.google.com/file/d/1_-VPmU4uh6g73qAlieHiIxBLlyz8ugo-/view?usp=drive_link" TargetMode="External" Id="R17c54d5bd7b54441" /><Relationship Type="http://schemas.openxmlformats.org/officeDocument/2006/relationships/hyperlink" Target="https://doi.org/10.1109/ACCESS.2024.3416838" TargetMode="External" Id="R38f108ae679f4093" /><Relationship Type="http://schemas.openxmlformats.org/officeDocument/2006/relationships/hyperlink" Target="https://drive.google.com/file/d/1P18S9ObBdn16Nck79SCu7lpdP3K378Rb/view?usp=drive_link" TargetMode="External" Id="Rc3068c0aeb494f3f" /><Relationship Type="http://schemas.openxmlformats.org/officeDocument/2006/relationships/hyperlink" Target="https://drive.google.com/file/d/1yaIOACKlMuRQkhW0IlnjlQL9PjBmM516/view?usp=drive_link" TargetMode="External" Id="Rde935953ff0d4e88" /><Relationship Type="http://schemas.openxmlformats.org/officeDocument/2006/relationships/hyperlink" Target="https://drive.google.com/file/d/12TKI1fBTWN1SqnlPmjpJqFNF_uqjaDeu/view?usp=drive_link" TargetMode="External" Id="R0489749a30e8489e" /><Relationship Type="http://schemas.openxmlformats.org/officeDocument/2006/relationships/hyperlink" Target="https://drive.google.com/file/d/1u4aAgHEQY9JbeaQ4GESK2K1DObNLr27B/view?usp=sharing" TargetMode="External" Id="R7d4d0020884944e5" /><Relationship Type="http://schemas.openxmlformats.org/officeDocument/2006/relationships/hyperlink" Target="https://drive.google.com/file/d/1C8YTOuvQiDFH2oydO7I9JO59DtvPGSJP/view?usp=drive_link" TargetMode="External" Id="R46259b7b04fd46b9" /><Relationship Type="http://schemas.openxmlformats.org/officeDocument/2006/relationships/hyperlink" Target="https://drive.google.com/file/d/13XVURlhFQtmY_yyjXcwBxAnLvYf9FH40/view?usp=drive_link" TargetMode="External" Id="R858c596374a544c0" /><Relationship Type="http://schemas.openxmlformats.org/officeDocument/2006/relationships/hyperlink" Target="https://drive.google.com/file/d/1E6LT6FCpYZoCgGIIuUUZ-kO6NPRK7ke_/view?usp=drive_link" TargetMode="External" Id="R54596a4812954fa6" /><Relationship Type="http://schemas.openxmlformats.org/officeDocument/2006/relationships/hyperlink" Target="https://drive.google.com/file/d/1sMmzjf9XcElouJRFG3OY25d5bkgy3N4S/view?usp=drive_link" TargetMode="External" Id="R054dfb91c6094b26" /><Relationship Type="http://schemas.openxmlformats.org/officeDocument/2006/relationships/hyperlink" Target="https://drive.google.com/file/d/1E69H156p4xFUU5p-KMED_FD45CNwxyPT/view?usp=sharing" TargetMode="External" Id="R83aad8608d164445" /><Relationship Type="http://schemas.openxmlformats.org/officeDocument/2006/relationships/hyperlink" Target="https://drive.google.com/file/d/1v0SQGoei2e2pNPC6XS1g_gHgijPI5qne/view?usp=drive_link" TargetMode="External" Id="Rbb3bf23d71614687" /><Relationship Type="http://schemas.openxmlformats.org/officeDocument/2006/relationships/hyperlink" Target="https://drive.google.com/file/d/17RfIQA_nIhQBdhxc_X-5hnKEji3Od8yA/view?usp=drive_link" TargetMode="External" Id="R8d08eb5ad65e46ec" /><Relationship Type="http://schemas.openxmlformats.org/officeDocument/2006/relationships/hyperlink" Target="https://drive.google.com/file/d/1s9wLGGmU1xma39DciCqgK6lhXk7NgqWY/view?usp=drive_link" TargetMode="External" Id="R78b1ee00def34829" /><Relationship Type="http://schemas.openxmlformats.org/officeDocument/2006/relationships/hyperlink" Target="https://drive.google.com/file/d/122ODztNxX3AKiXZhno5HDSnZgkpKjSiB/view?usp=drive_link" TargetMode="External" Id="Rfa570ad17b1b42ea" /><Relationship Type="http://schemas.openxmlformats.org/officeDocument/2006/relationships/hyperlink" Target="https://drive.google.com/file/d/17m0G_bxggh4CW91ogyvvyf5SPaNQNA35/view?usp=drive_link" TargetMode="External" Id="Re254c57092a44560" /><Relationship Type="http://schemas.openxmlformats.org/officeDocument/2006/relationships/hyperlink" Target="https://drive.google.com/file/d/11Y0197rKw49tZIrwm9s9uXBukZRPlQrM/view?usp=drive_link" TargetMode="External" Id="R475b616b64884f52" /><Relationship Type="http://schemas.openxmlformats.org/officeDocument/2006/relationships/hyperlink" Target="https://doi.org/10.7717/peerj-cs.2023" TargetMode="External" Id="Rfbde636b213e4514" /><Relationship Type="http://schemas.openxmlformats.org/officeDocument/2006/relationships/hyperlink" Target="file:///F:/Mestrado_Michel - Antigravity/Trabalhos/second_brain/fontes/referencias-ia-ml/Feature_Engineering_for_Machine_Learning_Principles_and_Techniques_for_Data_Scientists_-_Alice_Zheng.pdf" TargetMode="External" Id="R5325978243c040e4" /><Relationship Type="http://schemas.openxmlformats.org/officeDocument/2006/relationships/hyperlink" Target="file:///F:/Mestrado_Michel - Antigravity/Trabalhos/second_brain/fontes/referencias-ia-ml/Time_Series_Analysis_with_Python_Cookbook_-_Tarek_A_Atwan.pdf" TargetMode="External" Id="R4df44dee5e0f4b55" /><Relationship Type="http://schemas.openxmlformats.org/officeDocument/2006/relationships/hyperlink" Target="file:///F:/Mestrado_Michel - Antigravity/Trabalhos/second_brain/fontes/referencias-ia-ml/Machine_Learning_Design_Patterns_-_Valliappa_Lakshmanan.pdf" TargetMode="External" Id="R15e10fc5d1204cbd" /><Relationship Type="http://schemas.openxmlformats.org/officeDocument/2006/relationships/hyperlink" Target="file:///F:/Mestrado_Michel - Antigravity/Trabalhos/second_brain/fontes/referencias-ia-ml/Hands-On_Machine_Learning_with_Scikit-Learn-Keras-and-TensorFlow-2nd-Edition-Aurelien-Geron.pdf" TargetMode="External" Id="R246835df65fd41f0" /><Relationship Type="http://schemas.openxmlformats.org/officeDocument/2006/relationships/hyperlink" Target="file:///F:/Mestrado_Michel - Antigravity/Trabalhos/second_brain/fontes/referencias-ia-ml/Introduction_into_Machine_Learning_4th_Edition_-_Ethem_Alpaydin.pdf" TargetMode="External" Id="R67a36e431a7046aa" /><Relationship Type="http://schemas.openxmlformats.org/officeDocument/2006/relationships/table" Target="/xl/tables/table1.xml" Id="R7cc53622c57945b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aa0f05777a54781" /><Relationship Type="http://schemas.openxmlformats.org/officeDocument/2006/relationships/table" Target="/xl/tables/table3.xml" Id="Rf1b6fd626cb74516" /><Relationship Type="http://schemas.openxmlformats.org/officeDocument/2006/relationships/table" Target="/xl/tables/table4.xml" Id="R77f98929b8ea4206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ColWidth="12.630000114440918" defaultRowHeight="15.75"/>
  <x:cols>
    <x:col min="1" max="1" width="7.630000114440918" style="12" customWidth="1"/>
    <x:col min="2" max="2" width="31.25" style="12" customWidth="1"/>
    <x:col min="3" max="3" width="26" style="12" customWidth="1"/>
    <x:col min="4" max="4" width="23.1299991607666" style="12" customWidth="1"/>
    <x:col min="5" max="5" width="9.630000114440918" style="12" customWidth="1"/>
    <x:col min="6" max="6" width="21.25" style="12" customWidth="1"/>
    <x:col min="7" max="7" width="18.1299991607666" style="12" customWidth="1"/>
    <x:col min="8" max="8" width="21" style="12" customWidth="1"/>
    <x:col min="9" max="9" width="17.75" style="12" customWidth="1"/>
    <x:col min="10" max="10" width="11.75" style="12" customWidth="1"/>
    <x:col min="11" max="11" width="22.3799991607666" style="12" customWidth="1"/>
    <x:col min="12" max="12" width="26.3799991607666" style="12" customWidth="1"/>
    <x:col min="13" max="17" width="37.630001068115234" style="12" customWidth="1"/>
    <x:col min="18" max="18" width="19.6299991607666" style="12" customWidth="1"/>
  </x:cols>
  <x:sheetData>
    <x:row r="1" s="12" customFormat="1" ht="22.5" customHeight="1">
      <x:c r="A1" s="11" t="inlineStr">
        <x:is>
          <x:t xml:space="preserve">ID</x:t>
        </x:is>
      </x:c>
      <x:c r="B1" s="11" t="inlineStr">
        <x:is>
          <x:t xml:space="preserve">Link</x:t>
        </x:is>
      </x:c>
      <x:c r="C1" s="11" t="inlineStr">
        <x:is>
          <x:t xml:space="preserve">Título em português</x:t>
        </x:is>
      </x:c>
      <x:c r="D1" s="11" t="inlineStr">
        <x:is>
          <x:t xml:space="preserve">Título em inglês</x:t>
        </x:is>
      </x:c>
      <x:c r="E1" s="11" t="inlineStr">
        <x:is>
          <x:t xml:space="preserve">Ano/data</x:t>
        </x:is>
      </x:c>
      <x:c r="F1" s="11" t="inlineStr">
        <x:is>
          <x:t xml:space="preserve">Autores</x:t>
        </x:is>
      </x:c>
      <x:c r="G1" s="11" t="inlineStr">
        <x:is>
          <x:t xml:space="preserve">Tipo de documento</x:t>
        </x:is>
      </x:c>
      <x:c r="H1" s="11" t="inlineStr">
        <x:is>
          <x:t xml:space="preserve">Fonte/evento</x:t>
        </x:is>
      </x:c>
      <x:c r="I1" s="11" t="inlineStr">
        <x:is>
          <x:t xml:space="preserve">DOI</x:t>
        </x:is>
      </x:c>
      <x:c r="J1" s="11" t="inlineStr">
        <x:is>
          <x:t xml:space="preserve">Relação 0-52</x:t>
        </x:is>
      </x:c>
      <x:c r="K1" s="11" t="inlineStr">
        <x:is>
          <x:t xml:space="preserve">Tipo de relação</x:t>
        </x:is>
      </x:c>
      <x:c r="L1" s="11" t="inlineStr">
        <x:is>
          <x:t xml:space="preserve">Parte da dissertação</x:t>
        </x:is>
      </x:c>
      <x:c r="M1" s="11" t="inlineStr">
        <x:is>
          <x:t xml:space="preserve">Conexão com o projeto</x:t>
        </x:is>
      </x:c>
      <x:c r="N1" s="11" t="inlineStr">
        <x:is>
          <x:t xml:space="preserve">Evidências aproveitáveis</x:t>
        </x:is>
      </x:c>
      <x:c r="O1" s="11" t="inlineStr">
        <x:is>
          <x:t xml:space="preserve">Trechos/ideias para usar</x:t>
        </x:is>
      </x:c>
      <x:c r="P1" s="11" t="inlineStr">
        <x:is>
          <x:t xml:space="preserve">Frase possível para dissertação</x:t>
        </x:is>
      </x:c>
      <x:c r="Q1" s="11" t="inlineStr">
        <x:is>
          <x:t xml:space="preserve">Cuidados/limitações</x:t>
        </x:is>
      </x:c>
      <x:c r="R1" s="11" t="inlineStr">
        <x:is>
          <x:t xml:space="preserve">Relevância final</x:t>
        </x:is>
      </x:c>
    </x:row>
    <x:row r="2" s="12" customFormat="1" ht="22.5" customHeight="1">
      <x:c r="A2" s="11" t="inlineStr">
        <x:is>
          <x:t xml:space="preserve">A001</x:t>
        </x:is>
      </x:c>
      <x:c r="B2" s="4" t="inlineStr">
        <x:is>
          <x:t xml:space="preserve">https://drive.google.com/file/d/1Md7LRj-NWJHcj94O7dT3jeI4UYbp3edZ/view?usp=drive_link</x:t>
        </x:is>
      </x:c>
      <x:c r="C2" s="11" t="inlineStr">
        <x:is>
          <x:t xml:space="preserve">Sustentabilidade na mesa: redução do desperdício alimentar em uma instituição de ensino com previsão de demanda por aprendizado de máquina</x:t>
        </x:is>
      </x:c>
      <x:c r="D2" s="11" t="inlineStr">
        <x:is>
          <x:t xml:space="preserve">Sustainability at the Table: Reducing Food Waste in an Educational Institution through Machine Learning Demand Forecasting</x:t>
        </x:is>
      </x:c>
      <x:c r="E2" s="11" t="n">
        <x:v>2024</x:v>
      </x:c>
      <x:c r="F2" s="11" t="inlineStr">
        <x:is>
          <x:t xml:space="preserve">Michel Silva de Souza; Rafael Nobre Orsi</x:t>
        </x:is>
      </x:c>
      <x:c r="G2" s="11" t="inlineStr">
        <x:is>
          <x:t xml:space="preserve">Relato técnico</x:t>
        </x:is>
      </x:c>
      <x:c r="H2" s="11" t="inlineStr">
        <x:is>
          <x:t xml:space="preserve">SIMPROF 2024</x:t>
        </x:is>
      </x:c>
      <x:c r="I2" s="11" t="n"/>
      <x:c r="J2" s="11" t="n">
        <x:v>4</x:v>
      </x:c>
      <x:c r="K2" s="11" t="inlineStr">
        <x:is>
          <x:t xml:space="preserve">Estudo preliminar; problema; baseline inicial</x:t>
        </x:is>
      </x:c>
      <x:c r="L2" s="11" t="inlineStr">
        <x:is>
          <x:t xml:space="preserve">Introdução; trajetória da pesquisa; justificativa da evolução dos modelos</x:t>
        </x:is>
      </x:c>
      <x:c r="M2" s="11" t="inlineStr">
        <x:is>
          <x:t xml:space="preserve">Registra a primeira formulação prática do problema, com reservas, consumo, desperdício e uso inicial de regressão linear. Mostra a origem operacional do projeto e a necessidade de evoluir para bases mais ricas.</x:t>
        </x:is>
      </x:c>
      <x:c r="N2" s="11" t="inlineStr">
        <x:is>
          <x:t xml:space="preserve">Sistema online de reservas; uso de planilhas e dashboards; regressão linear como primeiro modelo; necessidade de incluir clima, calendário, histórico de presença e períodos escolares.</x:t>
        </x:is>
      </x:c>
      <x:c r="O2" s="11" t="inlineStr">
        <x:is>
          <x:t xml:space="preserve">O desperdício em instituição de ensino foi tratado como problema operacional, social e de sustentabilidade. A primeira solução usava formulário online, planilhas e dashboards. O estudo reconheceu que modelos lineares eram promissores, mas insuficientes sem novas variáveis.</x:t>
        </x:is>
      </x:c>
      <x:c r="P2" s="11" t="inlineStr">
        <x:is>
          <x:t xml:space="preserve">Em estudo preliminar, Souza e Orsi (2024) observaram que modelos lineares baseados em reservas e histórico de consumo eram úteis para iniciar a previsão de demanda, mas ainda limitados para explicar a variabilidade do consumo, indicando a necessidade de incorporar variáveis contextuais como calendário, clima e histórico de presença.</x:t>
        </x:is>
      </x:c>
      <x:c r="Q2" s="11" t="inlineStr">
        <x:is>
          <x:t xml:space="preserve">Usar como origem histórica, não como evidência final de desempenho. Resultados baseados em etapa inicial e menor maturidade dos dados.</x:t>
        </x:is>
      </x:c>
      <x:c r="R2" s="11" t="inlineStr">
        <x:is>
          <x:t xml:space="preserve">Aproveitar parcialmente</x:t>
        </x:is>
      </x:c>
    </x:row>
    <x:row r="3" s="12" customFormat="1" ht="22.5" customHeight="1">
      <x:c r="A3" s="11" t="inlineStr">
        <x:is>
          <x:t xml:space="preserve">A024</x:t>
        </x:is>
      </x:c>
      <x:c r="B3" s="4" t="inlineStr">
        <x:is>
          <x:t xml:space="preserve">https://drive.google.com/file/d/11TpJNtDsSGF9CJytfCgb8b3sKoC0A4W5/view?usp=drive_link</x:t>
        </x:is>
      </x:c>
      <x:c r="C3" s="11" t="inlineStr">
        <x:is>
          <x:t xml:space="preserve">Redução do desperdício alimentar em restaurante universitário: uma abordagem orientada por dados para previsão de demanda e sustentabilidade</x:t>
        </x:is>
      </x:c>
      <x:c r="D3" s="11" t="inlineStr">
        <x:is>
          <x:t xml:space="preserve">Reducing Food Waste in Campus Dining: A Data-Driven Approach to Demand Prediction and Sustainability</x:t>
        </x:is>
      </x:c>
      <x:c r="E3" s="11" t="n">
        <x:v>2025</x:v>
      </x:c>
      <x:c r="F3" s="11" t="inlineStr">
        <x:is>
          <x:t xml:space="preserve">Gul Fatma Turker</x:t>
        </x:is>
      </x:c>
      <x:c r="G3" s="11" t="inlineStr">
        <x:is>
          <x:t xml:space="preserve">Artigo empírico</x:t>
        </x:is>
      </x:c>
      <x:c r="H3" s="11" t="inlineStr">
        <x:is>
          <x:t xml:space="preserve">Sustainability, 17, 379</x:t>
        </x:is>
      </x:c>
      <x:c r="I3" s="4" t="inlineStr">
        <x:is>
          <x:t xml:space="preserve">https://doi.org/10.3390/su17020379</x:t>
        </x:is>
      </x:c>
      <x:c r="J3" s="11" t="n">
        <x:v>5</x:v>
      </x:c>
      <x:c r="K3" s="11" t="inlineStr">
        <x:is>
          <x:t xml:space="preserve">Problema; método; técnica; comparação; contexto</x:t>
        </x:is>
      </x:c>
      <x:c r="L3" s="11" t="inlineStr">
        <x:is>
          <x:t xml:space="preserve">Introdução; referencial teórico; metodologia; discussão; trabalhos futuros</x:t>
        </x:is>
      </x:c>
      <x:c r="M3" s="11" t="inlineStr">
        <x:is>
          <x:t xml:space="preserve">Artigo central para a dissertação. Trata diretamente previsão de demanda em alimentação de campus, desperdício, sustentabilidade, machine learning, variáveis de cardápio, mobilidade/campus density, clima e contagem diária de refeições.</x:t>
        </x:is>
      </x:c>
      <x:c r="N3" s="11" t="inlineStr">
        <x:is>
          <x:t xml:space="preserve">O estudo usa dados diários de campus, entradas no restaurante, informações de cardápio, clima, mobilidade, receita e modelos como Linear Regression, Extra Tree, Lasso, Decision Tree, XGBoost e Gradient Boosting. Reporta que variedade alimentar, contagens, receita, mobilidade e temperatura influenciam preferências e demanda.</x:t>
        </x:is>
      </x:c>
      <x:c r="O3" s="11" t="inlineStr">
        <x:is>
          <x:t xml:space="preserve">Pode fundamentar a escolha de variáveis do seu projeto: reservas, consumo histórico, calendário, cardápio, clima e densidade/presença. Também sustenta a comparação entre modelos lineares, árvores e boosting.</x:t>
        </x:is>
      </x:c>
      <x:c r="P3" s="11" t="inlineStr">
        <x:is>
          <x:t xml:space="preserve">A previsão de demanda em serviços de alimentação de campus pode se beneficiar da integração de dados operacionais, climáticos, temporais e de cardápio, permitindo alinhar produção e consumo com menor desperdício.</x:t>
        </x:is>
      </x:c>
      <x:c r="Q3" s="11" t="inlineStr">
        <x:is>
          <x:t xml:space="preserve">Os resultados reportados são muito altos, como R² de 0,999 para Lasso, exigindo cautela sobre possível sobreajuste, vazamento ou características específicas da base. Usar como referência forte de contexto e variáveis, mas não como meta direta de desempenho.</x:t>
        </x:is>
      </x:c>
      <x:c r="R3" s="11" t="inlineStr">
        <x:is>
          <x:t xml:space="preserve">Aproveitar fortemente</x:t>
        </x:is>
      </x:c>
    </x:row>
    <x:row r="4" s="12" customFormat="1" ht="22.5" customHeight="1">
      <x:c r="A4" s="11" t="inlineStr">
        <x:is>
          <x:t xml:space="preserve">A003</x:t>
        </x:is>
      </x:c>
      <x:c r="B4" s="4" t="inlineStr">
        <x:is>
          <x:t xml:space="preserve">https://drive.google.com/file/d/1NOnyr45614f6AhZjol_PFmqayFMFSfjN/view?usp=drive_link</x:t>
        </x:is>
      </x:c>
      <x:c r="C4" s="11" t="inlineStr">
        <x:is>
          <x:t xml:space="preserve">Gestão de suprimentos em sistemas produtivos: uma abordagem preditiva com ciência de dados e inteligência artificial</x:t>
        </x:is>
      </x:c>
      <x:c r="D4" s="11" t="inlineStr">
        <x:is>
          <x:t xml:space="preserve">Supply Management in Productive Systems: A Predictive Approach with Data Science and Artificial Intelligence</x:t>
        </x:is>
      </x:c>
      <x:c r="E4" s="11" t="n">
        <x:v>2025</x:v>
      </x:c>
      <x:c r="F4" s="11" t="inlineStr">
        <x:is>
          <x:t xml:space="preserve">Michel Silva de Souza; Carlos Hideo Arima; Rafael Nobre Orsi</x:t>
        </x:is>
      </x:c>
      <x:c r="G4" s="11" t="inlineStr">
        <x:is>
          <x:t xml:space="preserve">Relato técnico</x:t>
        </x:is>
      </x:c>
      <x:c r="H4" s="11" t="inlineStr">
        <x:is>
          <x:t xml:space="preserve">SINGEP-CIK 2025</x:t>
        </x:is>
      </x:c>
      <x:c r="I4" s="11" t="n"/>
      <x:c r="J4" s="11" t="n">
        <x:v>4</x:v>
      </x:c>
      <x:c r="K4" s="11" t="inlineStr">
        <x:is>
          <x:t xml:space="preserve">Modelagem preditiva; cadeia de suprimentos; produto técnico-tecnológico</x:t>
        </x:is>
      </x:c>
      <x:c r="L4" s="11" t="inlineStr">
        <x:is>
          <x:t xml:space="preserve">Capítulo de modelagem; discussão operacional; trabalhos futuros</x:t>
        </x:is>
      </x:c>
      <x:c r="M4" s="11" t="inlineStr">
        <x:is>
          <x:t xml:space="preserve">Conecta a previsão de demanda ao planejamento de suprimentos, mostrando que a previsão não é apenas um problema estatístico, mas uma ferramenta de apoio à decisão operacional.</x:t>
        </x:is>
      </x:c>
      <x:c r="N4" s="11" t="inlineStr">
        <x:is>
          <x:t xml:space="preserve">Planejamento reativo às sextas-feiras; reservas isoladas como indicador insuficiente; comparação de modelos lineares, árvores, KNN, ensembles e stacking; limitação por volume de dados.</x:t>
        </x:is>
      </x:c>
      <x:c r="O4" s="11" t="inlineStr">
        <x:is>
          <x:t xml:space="preserve">A ausência de previsão antecipada induz decisões reativas, compras emergenciais e risco de superprodução. A previsão pode apoiar compras, produção e negociação com fornecedor.</x:t>
        </x:is>
      </x:c>
      <x:c r="P4" s="11" t="inlineStr">
        <x:is>
          <x:t xml:space="preserve">Souza, Arima e Orsi (2025) ampliaram a discussão ao enquadrar a previsão de refeições como problema de gestão de suprimentos, destacando que a ausência de previsões antecipadas induz decisões reativas, compras emergenciais e risco de superprodução.</x:t>
        </x:is>
      </x:c>
      <x:c r="Q4" s="11" t="inlineStr">
        <x:is>
          <x:t xml:space="preserve">Cuidado com resultados de MAE, R², modelo campeão e ganhos, pois podem estar desatualizados em relação aos notebooks atuais.</x:t>
        </x:is>
      </x:c>
      <x:c r="R4" s="11" t="inlineStr">
        <x:is>
          <x:t xml:space="preserve">Aproveitar parcialmente</x:t>
        </x:is>
      </x:c>
    </x:row>
    <x:row r="5" s="12" customFormat="1" ht="22.5" customHeight="1">
      <x:c r="A5" s="11" t="inlineStr">
        <x:is>
          <x:t xml:space="preserve">A004</x:t>
        </x:is>
      </x:c>
      <x:c r="B5" s="4" t="inlineStr">
        <x:is>
          <x:t xml:space="preserve">https://drive.google.com/file/d/1tgmp0ImH30JNuuF1-Pz7m2ElsJxlH52G/view?usp=drive_link</x:t>
        </x:is>
      </x:c>
      <x:c r="C5" s="11" t="inlineStr">
        <x:is>
          <x:t xml:space="preserve">Gestão eficiente de restaurantes universitários: análise exploratória de dados e simulação probabilística para redução de desperdícios</x:t>
        </x:is>
      </x:c>
      <x:c r="D5" s="11" t="inlineStr">
        <x:is>
          <x:t xml:space="preserve">Efficient Management of University Restaurants: Exploratory Data Analysis and Probabilistic Simulation for Waste Reduction</x:t>
        </x:is>
      </x:c>
      <x:c r="E5" s="11" t="n">
        <x:v>2025</x:v>
      </x:c>
      <x:c r="F5" s="11" t="inlineStr">
        <x:is>
          <x:t xml:space="preserve">Michel Silva de Souza; Julyana Nazario Alves; Vinicius de Oliveira Querencia</x:t>
        </x:is>
      </x:c>
      <x:c r="G5" s="11" t="inlineStr">
        <x:is>
          <x:t xml:space="preserve">Projeto de pesquisa experimental</x:t>
        </x:is>
      </x:c>
      <x:c r="H5" s="11" t="inlineStr">
        <x:is>
          <x:t xml:space="preserve">Disciplina MQA</x:t>
        </x:is>
      </x:c>
      <x:c r="I5" s="11" t="n"/>
      <x:c r="J5" s="11" t="n">
        <x:v>3</x:v>
      </x:c>
      <x:c r="K5" s="11" t="inlineStr">
        <x:is>
          <x:t xml:space="preserve">Simulação; margem de segurança; cenários operacionais</x:t>
        </x:is>
      </x:c>
      <x:c r="L5" s="11" t="inlineStr">
        <x:is>
          <x:t xml:space="preserve">Discussão metodológica; limitações; trabalhos futuros</x:t>
        </x:is>
      </x:c>
      <x:c r="M5" s="11" t="inlineStr">
        <x:is>
          <x:t xml:space="preserve">Explora simulação probabilística e políticas operacionais para equilibrar sobra e falta de refeições. É útil para discutir decisão sob risco, mas não deve ser tratado como solução validada.</x:t>
        </x:is>
      </x:c>
      <x:c r="N5" s="11" t="inlineStr">
        <x:is>
          <x:t xml:space="preserve">Simulação de cenários; trade-off entre desperdício e falta; políticas alternativas de produção; necessidade de calibrar margem de segurança.</x:t>
        </x:is>
      </x:c>
      <x:c r="O5" s="11" t="inlineStr">
        <x:is>
          <x:t xml:space="preserve">A decisão operacional não depende apenas da previsão pontual; envolve o equilíbrio entre risco de falta e risco de sobra. Simulações podem apoiar a análise, mas dependem de premissas fortes.</x:t>
        </x:is>
      </x:c>
      <x:c r="P5" s="11" t="inlineStr">
        <x:is>
          <x:t xml:space="preserve">Como etapa exploratória posterior, Souza, Alves e Querencia (2025) investigaram o uso de simulação probabilística para avaliar políticas de produção, evidenciando que a decisão operacional não depende apenas da previsão pontual, mas também do equilíbrio entre risco de falta e risco de sobra.</x:t>
        </x:is>
      </x:c>
      <x:c r="Q5" s="11" t="inlineStr">
        <x:is>
          <x:t xml:space="preserve">Usar com cautela. Os resultados recentes dos notebooks indicaram que margens mal calibradas podem piorar a decisão. Não usar como evidência conclusiva.</x:t>
        </x:is>
      </x:c>
      <x:c r="R5" s="11" t="inlineStr">
        <x:is>
          <x:t xml:space="preserve">Apoio pontual</x:t>
        </x:is>
      </x:c>
    </x:row>
    <x:row r="6" s="12" customFormat="1" ht="22.5" customHeight="1">
      <x:c r="A6" s="7" t="inlineStr">
        <x:is>
          <x:t xml:space="preserve">A031</x:t>
        </x:is>
      </x:c>
      <x:c r="B6" s="4" t="inlineStr">
        <x:is>
          <x:t xml:space="preserve">https://drive.google.com/file/d/1LPA7UacH7dhulfsyDfn1pQPvJd16h4gH/view?usp=sharing</x:t>
        </x:is>
      </x:c>
      <x:c r="C6" s="11" t="inlineStr">
        <x:is>
          <x:t xml:space="preserve">Desperdício alimentar em hospitalidade e serviços de alimentação: revisão sistemática da literatura e desenvolvimento de framework</x:t>
        </x:is>
      </x:c>
      <x:c r="D6" s="11" t="inlineStr">
        <x:is>
          <x:t xml:space="preserve">Food waste in hospitality and food services: A systematic literature review and framework development approach</x:t>
        </x:is>
      </x:c>
      <x:c r="E6" s="11" t="n">
        <x:v>2020</x:v>
      </x:c>
      <x:c r="F6" s="11" t="inlineStr">
        <x:is>
          <x:t xml:space="preserve">Amandeep Dhir; Shalini Talwar; Puneet Kaur; Areej Malibari</x:t>
        </x:is>
      </x:c>
      <x:c r="G6" s="11" t="inlineStr">
        <x:is>
          <x:t xml:space="preserve">Revisão sistemática</x:t>
        </x:is>
      </x:c>
      <x:c r="H6" s="11" t="inlineStr">
        <x:is>
          <x:t xml:space="preserve">Journal of Cleaner Production, 270, 122861</x:t>
        </x:is>
      </x:c>
      <x:c r="I6" s="10" t="inlineStr">
        <x:is>
          <x:t xml:space="preserve">https://doi.org/10.1016/j.jclepro.2020.122861</x:t>
        </x:is>
      </x:c>
      <x:c r="J6" s="11" t="n">
        <x:v>4</x:v>
      </x:c>
      <x:c r="K6" s="11" t="inlineStr">
        <x:is>
          <x:t xml:space="preserve">Problema; contexto; método; trabalhos futuros</x:t>
        </x:is>
      </x:c>
      <x:c r="L6" s="11" t="inlineStr">
        <x:is>
          <x:t xml:space="preserve">Introdução; referencial teórico; metodologia; trabalhos futuros</x:t>
        </x:is>
      </x:c>
      <x:c r="M6" s="11" t="inlineStr">
        <x:is>
          <x:t xml:space="preserve">Conecta-se ao projeto por organizar a literatura sobre desperdício em serviços de alimentação, incluindo causas, mensuração, redução, intervenções, comportamento e lacunas de pesquisa. Ajuda a posicionar o restaurante escolar dentro do campo mais amplo de food services.</x:t>
        </x:is>
      </x:c>
      <x:c r="N6" s="11" t="inlineStr">
        <x:is>
          <x:t xml:space="preserve">A revisão aponta que o tema ainda é fragmentado, com problemas de generalização, variáveis limitadas, métodos de mensuração heterogêneos e necessidade de estudos comparativos em diferentes tipos de estabelecimentos, como cafeterias e refeitórios.</x:t>
        </x:is>
      </x:c>
      <x:c r="O6" s="11" t="inlineStr">
        <x:is>
          <x:t xml:space="preserve">Pode sustentar a necessidade de um artefato de dados rastreável, com mensuração clara, variáveis operacionais e possibilidade de replicação em outros contextos.</x:t>
        </x:is>
      </x:c>
      <x:c r="P6" s="11" t="inlineStr">
        <x:is>
          <x:t xml:space="preserve">A literatura sobre desperdício em serviços de alimentação ainda apresenta lacunas de mensuração, integração de variáveis e generalização, o que reforça a necessidade de bases estruturadas e auditáveis para estudos preditivos.</x:t>
        </x:is>
      </x:c>
      <x:c r="Q6" s="11" t="inlineStr">
        <x:is>
          <x:t xml:space="preserve">A revisão foca o setor lucrativo de hospitalidade e alimentação fora do lar, não especificamente escolas públicas. Usar como base ampla, não como evidência direta do IFSP.</x:t>
        </x:is>
      </x:c>
      <x:c r="R6" s="11" t="inlineStr">
        <x:is>
          <x:t xml:space="preserve">Aproveitar fortemente</x:t>
        </x:is>
      </x:c>
    </x:row>
    <x:row r="7" s="12" customFormat="1" ht="22.5" customHeight="1">
      <x:c r="A7" s="11" t="inlineStr">
        <x:is>
          <x:t xml:space="preserve">A006</x:t>
        </x:is>
      </x:c>
      <x:c r="B7" s="4" t="inlineStr">
        <x:is>
          <x:t xml:space="preserve">https://drive.google.com/file/d/1xWnORWGN3hTbyCxLP0EyPX5S6Bum3zQF/view?usp=drive_link</x:t>
        </x:is>
      </x:c>
      <x:c r="C7" s="11" t="inlineStr">
        <x:is>
          <x:t xml:space="preserve">Aprendizado de máquina não supervisionado em estudos urbanos: uma revisão sistemática de aplicações</x:t>
        </x:is>
      </x:c>
      <x:c r="D7" s="11" t="inlineStr">
        <x:is>
          <x:t xml:space="preserve">Unsupervised machine learning in urban studies: A systematic review of applications</x:t>
        </x:is>
      </x:c>
      <x:c r="E7" s="11" t="n">
        <x:v>2022</x:v>
      </x:c>
      <x:c r="F7" s="11" t="inlineStr">
        <x:is>
          <x:t xml:space="preserve">Jing Wang; Filip Biljecki</x:t>
        </x:is>
      </x:c>
      <x:c r="G7" s="11" t="inlineStr">
        <x:is>
          <x:t xml:space="preserve">Revisão sistemática</x:t>
        </x:is>
      </x:c>
      <x:c r="H7" s="11" t="inlineStr">
        <x:is>
          <x:t xml:space="preserve">Cities, v. 129, 103925</x:t>
        </x:is>
      </x:c>
      <x:c r="I7" s="4" t="inlineStr">
        <x:is>
          <x:t xml:space="preserve">https://doi.org/10.1016/j.cities.2022.103925</x:t>
        </x:is>
      </x:c>
      <x:c r="J7" s="11" t="n">
        <x:v>2</x:v>
      </x:c>
      <x:c r="K7" s="11" t="inlineStr">
        <x:is>
          <x:t xml:space="preserve">Técnica; método; limitação; trabalhos futuros</x:t>
        </x:is>
      </x:c>
      <x:c r="L7" s="11" t="inlineStr">
        <x:is>
          <x:t xml:space="preserve">Referencial teórico; metodologia; limitações</x:t>
        </x:is>
      </x:c>
      <x:c r="M7" s="11" t="inlineStr">
        <x:is>
          <x:t xml:space="preserve">A relação é indireta. O artigo não trata de alimentação nem previsão de demanda, mas ajuda a explicar diferenças entre aprendizado supervisionado e não supervisionado, uso de PCA, clustering, integração de múltiplas fontes e dificuldades de interpretação/validação.</x:t>
        </x:is>
      </x:c>
      <x:c r="N7" s="11" t="inlineStr">
        <x:is>
          <x:t xml:space="preserve">O artigo mostra que métodos não supervisionados descobrem padrões sem rótulos, mas têm limitações de interpretação, validação e subjetividade. Também menciona PCA como técnica para reduzir dimensões e facilitar interpretação antes de análises como clustering.</x:t>
        </x:is>
      </x:c>
      <x:c r="O7" s="11" t="inlineStr">
        <x:is>
          <x:t xml:space="preserve">Usar apenas como apoio conceitual para: distinguir aprendizado supervisionado e não supervisionado; explicar que PCA pode reduzir dimensionalidade; reconhecer que métodos sem rótulo exigem cautela interpretativa.</x:t>
        </x:is>
      </x:c>
      <x:c r="P7" s="11" t="inlineStr">
        <x:is>
          <x:t xml:space="preserve">Wang e Biljecki (2022) observam que métodos não supervisionados são úteis para descobrir padrões em dados complexos e multiestruturados, mas seus resultados exigem cautela devido à dificuldade de interpretação, validação e comparação entre estudos.</x:t>
        </x:is>
      </x:c>
      <x:c r="Q7" s="11" t="inlineStr">
        <x:is>
          <x:t xml:space="preserve">Contexto urbano é distante do projeto. Não usar para justificar diretamente modelos de demanda alimentar. Aproveitar pontualmente para PCA, redução de dimensionalidade ou discussão de aprendizado não supervisionado.</x:t>
        </x:is>
      </x:c>
      <x:c r="R7" s="11" t="inlineStr">
        <x:is>
          <x:t xml:space="preserve">Apoio pontual</x:t>
        </x:is>
      </x:c>
    </x:row>
    <x:row r="8" s="12" customFormat="1" ht="22.5" customHeight="1">
      <x:c r="A8" s="11" t="inlineStr">
        <x:is>
          <x:t xml:space="preserve">A007</x:t>
        </x:is>
      </x:c>
      <x:c r="B8" s="11" t="str">
        <x:f>E8&amp;"-"&amp;D8</x:f>
        <x:v>2023-Improving the Recognition Percentage of the Identity Check System by Applying the SVM Method on the Face Image Using Special Faces</x:v>
      </x:c>
      <x:c r="C8" s="11" t="inlineStr">
        <x:is>
          <x:t xml:space="preserve">Melhoria do percentual de reconhecimento em sistema de verificação de identidade aplicando SVM em imagens faciais com eigenfaces</x:t>
        </x:is>
      </x:c>
      <x:c r="D8" s="11" t="inlineStr">
        <x:is>
          <x:t xml:space="preserve">Improving the Recognition Percentage of the Identity Check System by Applying the SVM Method on the Face Image Using Special Faces</x:t>
        </x:is>
      </x:c>
      <x:c r="E8" s="11" t="n">
        <x:v>2023</x:v>
      </x:c>
      <x:c r="F8" s="11" t="inlineStr">
        <x:is>
          <x:t xml:space="preserve">Azita Mousavi; Amir Hossein Sadeghi; Ali Mojarrad Ghahfarokhi; Fatemehalsadat Beheshtinejad; Mahsa Madadi Masouleh</x:t>
        </x:is>
      </x:c>
      <x:c r="G8" s="11" t="inlineStr">
        <x:is>
          <x:t xml:space="preserve">Artigo aplicado</x:t>
        </x:is>
      </x:c>
      <x:c r="H8" s="11" t="inlineStr">
        <x:is>
          <x:t xml:space="preserve">International Journal of Robotics and Control Systems, v. 3, n. 2</x:t>
        </x:is>
      </x:c>
      <x:c r="I8" s="4" t="inlineStr">
        <x:is>
          <x:t xml:space="preserve">https://doi.org/10.31763/ijrcs.v3i2.939</x:t>
        </x:is>
      </x:c>
      <x:c r="J8" s="11" t="n">
        <x:v>1</x:v>
      </x:c>
      <x:c r="K8" s="11" t="inlineStr">
        <x:is>
          <x:t xml:space="preserve">Técnica; comparação</x:t>
        </x:is>
      </x:c>
      <x:c r="L8" s="11" t="inlineStr">
        <x:is>
          <x:t xml:space="preserve">Referencial técnico, se necessário</x:t>
        </x:is>
      </x:c>
      <x:c r="M8" s="11" t="inlineStr">
        <x:is>
          <x:t xml:space="preserve">A relação com o projeto é fraca. O artigo aplica SVM em reconhecimento facial, não em previsão de demanda. Pode servir apenas como exemplo geral de SVM, ajuste de parâmetro C e classificação em dados de alta dimensionalidade.</x:t>
        </x:is>
      </x:c>
      <x:c r="N8" s="11" t="inlineStr">
        <x:is>
          <x:t xml:space="preserve">O artigo usa SVM linear/não linear, seleção do parâmetro C e comparação de desempenho em reconhecimento de imagens. Mostra que o ajuste do hiperparâmetro e a representação das features afetam o desempenho.</x:t>
        </x:is>
      </x:c>
      <x:c r="O8" s="11" t="inlineStr">
        <x:is>
          <x:t xml:space="preserve">Usar somente se a dissertação tiver uma seção curta explicando por que SVM foi considerado/testado. Não é necessário se SVM não for central nos resultados finais.</x:t>
        </x:is>
      </x:c>
      <x:c r="P8" s="11" t="inlineStr">
        <x:is>
          <x:t xml:space="preserve">Em aplicações de classificação, Mousavi et al. (2023) ilustram que o desempenho de SVM depende da representação dos atributos e do ajuste de hiperparâmetros, como o parâmetro C, embora em contexto distinto do problema de previsão de demanda.</x:t>
        </x:is>
      </x:c>
      <x:c r="Q8" s="11" t="inlineStr">
        <x:is>
          <x:t xml:space="preserve">Muito distante do domínio. Não usar para sustentar alimentação, EDA, Gold, BERT, margem ou modelos de regressão. Baixa prioridade.</x:t>
        </x:is>
      </x:c>
      <x:c r="R8" s="11" t="inlineStr">
        <x:is>
          <x:t xml:space="preserve">Não aproveitar, salvo apoio muito pontual</x:t>
        </x:is>
      </x:c>
    </x:row>
    <x:row r="9" s="12" customFormat="1" ht="22.5" customHeight="1">
      <x:c r="A9" s="11" t="inlineStr">
        <x:is>
          <x:t xml:space="preserve">A008</x:t>
        </x:is>
      </x:c>
      <x:c r="B9" s="4" t="inlineStr">
        <x:is>
          <x:t xml:space="preserve">https://drive.google.com/file/d/1g4GKUuUUrcXTtPySYjB3RuTCa0tfy_JT/view?usp=drive_link</x:t>
        </x:is>
      </x:c>
      <x:c r="C9" s="11" t="inlineStr">
        <x:is>
          <x:t xml:space="preserve">Identificação e detecção de cyberbullying no Facebook usando algoritmos de aprendizado de máquina</x:t>
        </x:is>
      </x:c>
      <x:c r="D9" s="11" t="inlineStr">
        <x:is>
          <x:t xml:space="preserve">Identification and Detection of Cyberbullying on Facebook Using Machine Learning Algorithms</x:t>
        </x:is>
      </x:c>
      <x:c r="E9" s="11" t="n">
        <x:v>2021</x:v>
      </x:c>
      <x:c r="F9" s="11" t="inlineStr">
        <x:is>
          <x:t xml:space="preserve">Nureni Ayofe Azeez; Sanjay Misra; Omotola Ifeoluwa Lawal; Jonathan Oluranti</x:t>
        </x:is>
      </x:c>
      <x:c r="G9" s="11" t="inlineStr">
        <x:is>
          <x:t xml:space="preserve">Artigo aplicado</x:t>
        </x:is>
      </x:c>
      <x:c r="H9" s="11" t="inlineStr">
        <x:is>
          <x:t xml:space="preserve">Journal of Cases on Information Technology, v. 23, n. 4</x:t>
        </x:is>
      </x:c>
      <x:c r="I9" s="4" t="inlineStr">
        <x:is>
          <x:t xml:space="preserve">https://doi.org/10.4018/JCIT.296254</x:t>
        </x:is>
      </x:c>
      <x:c r="J9" s="11" t="n">
        <x:v>2</x:v>
      </x:c>
      <x:c r="K9" s="11" t="inlineStr">
        <x:is>
          <x:t xml:space="preserve">Técnica; NLP; métricas; seleção de atributos</x:t>
        </x:is>
      </x:c>
      <x:c r="L9" s="11" t="inlineStr">
        <x:is>
          <x:t xml:space="preserve">Referencial teórico; metodologia, se houver discussão de NLP/feature selection</x:t>
        </x:is>
      </x:c>
      <x:c r="M9" s="11" t="inlineStr">
        <x:is>
          <x:t xml:space="preserve">A relação é indireta. O artigo trata de classificação textual de cyberbullying, mas pode apoiar discussões sobre transformação de texto em features, seleção de atributos e uso de múltiplas métricas além de acurácia.</x:t>
        </x:is>
      </x:c>
      <x:c r="N9" s="11" t="inlineStr">
        <x:is>
          <x:t xml:space="preserve">O artigo usa dados textuais, extração de features, matriz de contagens/pesos, classificação com Naive Bayes e KNN, e seleção de atributos por qui-quadrado. Também afirma que acurácia isolada pode ser insuficiente em bases desbalanceadas, recomendando métricas como precisão e recall.</x:t>
        </x:is>
      </x:c>
      <x:c r="O9" s="11" t="inlineStr">
        <x:is>
          <x:t xml:space="preserve">Usar para reforçar que, em problemas de ML com texto, a etapa de extração/seleção de atributos influencia o desempenho; e que métricas precisam ser escolhidas conforme o problema, especialmente quando há desbalanceamento.</x:t>
        </x:is>
      </x:c>
      <x:c r="P9" s="11" t="inlineStr">
        <x:is>
          <x:t xml:space="preserve">Azeez et al. (2021) mostram que a classificação de dados textuais exige etapas explícitas de coleta, extração de atributos, seleção de features e avaliação por métricas adequadas, destacando que a acurácia isolada pode ser insuficiente em cenários desbalanceados.</x:t>
        </x:is>
      </x:c>
      <x:c r="Q9" s="11" t="inlineStr">
        <x:is>
          <x:t xml:space="preserve">Domínio muito diferente. É mais útil para NLP genérico do que para previsão de demanda. Se já houver artigos melhores sobre BERT/cardápio, priorizar os mais aderentes.</x:t>
        </x:is>
      </x:c>
      <x:c r="R9" s="11" t="inlineStr">
        <x:is>
          <x:t xml:space="preserve">Apoio pontual</x:t>
        </x:is>
      </x:c>
    </x:row>
    <x:row r="10" s="12" customFormat="1" ht="22.5" customHeight="1">
      <x:c r="A10" s="11" t="inlineStr">
        <x:is>
          <x:t xml:space="preserve">A009</x:t>
        </x:is>
      </x:c>
      <x:c r="B10" s="4" t="inlineStr">
        <x:is>
          <x:t xml:space="preserve">https://drive.google.com/file/d/1gR-PKbuNRDWrZ74_kdu6iPYKm8hJ0XqN/view?usp=drive_link</x:t>
        </x:is>
      </x:c>
      <x:c r="C10" s="11" t="inlineStr">
        <x:is>
          <x:t xml:space="preserve">Estado da arte em aplicações de redes neurais artificiais: uma revisão</x:t>
        </x:is>
      </x:c>
      <x:c r="D10" s="11" t="inlineStr">
        <x:is>
          <x:t xml:space="preserve">State-of-the-art in artificial neural network applications: A survey</x:t>
        </x:is>
      </x:c>
      <x:c r="E10" s="11" t="n">
        <x:v>2018</x:v>
      </x:c>
      <x:c r="F10" s="11" t="inlineStr">
        <x:is>
          <x:t xml:space="preserve">Oludare Isaac Abiodun; Aman Jantan; Abiodun Esther Omolara; Kemi Victoria Dada; Nachaat AbdElatif Mohamed; Humaira Arshad</x:t>
        </x:is>
      </x:c>
      <x:c r="G10" s="11" t="inlineStr">
        <x:is>
          <x:t xml:space="preserve">Revisão/survey</x:t>
        </x:is>
      </x:c>
      <x:c r="H10" s="11" t="inlineStr">
        <x:is>
          <x:t xml:space="preserve">Heliyon, v. 4, e00938</x:t>
        </x:is>
      </x:c>
      <x:c r="I10" s="4" t="inlineStr">
        <x:is>
          <x:t xml:space="preserve">https://doi.org/10.1016/j.heliyon.2018.e00938</x:t>
        </x:is>
      </x:c>
      <x:c r="J10" s="11" t="n">
        <x:v>3</x:v>
      </x:c>
      <x:c r="K10" s="11" t="inlineStr">
        <x:is>
          <x:t xml:space="preserve">Técnica; referencial; trabalhos futuros</x:t>
        </x:is>
      </x:c>
      <x:c r="L10" s="11" t="inlineStr">
        <x:is>
          <x:t xml:space="preserve">Referencial teórico; seção de modelos candidatos</x:t>
        </x:is>
      </x:c>
      <x:c r="M10" s="11" t="inlineStr">
        <x:is>
          <x:t xml:space="preserve">O artigo é útil para contextualizar redes neurais artificiais como família de modelos aplicável a classificação, reconhecimento de padrões e previsão em diferentes áreas. Ajuda se a dissertação discutir por que redes neurais foram consideradas, mas não deve ser central.</x:t>
        </x:is>
      </x:c>
      <x:c r="N10" s="11" t="inlineStr">
        <x:is>
          <x:t xml:space="preserve">O survey apresenta aplicações amplas de ANN, compara usos em diferentes domínios e destaca características como capacidade de lidar com padrões complexos, escalabilidade, desempenho e tolerância a falhas.</x:t>
        </x:is>
      </x:c>
      <x:c r="O10" s="11" t="inlineStr">
        <x:is>
          <x:t xml:space="preserve">Usar para fundamentar uma seção geral sobre redes neurais como alternativa de modelagem, especialmente se houver notebooks com ANN/MLP. Também pode ajudar a explicar que redes neurais não são automaticamente superiores; dependem de dados, arquitetura e validação.</x:t>
        </x:is>
      </x:c>
      <x:c r="P10" s="11" t="inlineStr">
        <x:is>
          <x:t xml:space="preserve">Abiodun et al. (2018) sintetizam aplicações de redes neurais em múltiplos domínios e indicam seu potencial para tarefas de previsão, classificação e reconhecimento de padrões, embora sua efetividade dependa da qualidade dos dados, da arquitetura adotada e do protocolo de avaliação.</x:t>
        </x:is>
      </x:c>
      <x:c r="Q10" s="11" t="inlineStr">
        <x:is>
          <x:t xml:space="preserve">É de 2018, mais antigo que o recorte ideal recente. Serve como referência geral, mas para redes neurais modernas seria bom complementar com artigos mais recentes e aplicados a demanda/séries temporais.</x:t>
        </x:is>
      </x:c>
      <x:c r="R10" s="11" t="inlineStr">
        <x:is>
          <x:t xml:space="preserve">Aproveitar parcialmente</x:t>
        </x:is>
      </x:c>
    </x:row>
    <x:row r="11" s="12" customFormat="1" ht="22.5" customHeight="1">
      <x:c r="A11" s="11" t="inlineStr">
        <x:is>
          <x:t xml:space="preserve">A021</x:t>
        </x:is>
      </x:c>
      <x:c r="B11" s="4" t="inlineStr">
        <x:is>
          <x:t xml:space="preserve">https://drive.google.com/file/d/1PXlXJ7_MOZJfvYgGF0Fkuo3eafh9njdn/view?usp=sharing</x:t>
        </x:is>
      </x:c>
      <x:c r="C11" s="11" t="inlineStr">
        <x:is>
          <x:t xml:space="preserve">Desperdício de alimentos em escolas: estudo pré e pós-teste sobre o impacto de uma intervenção de treinamento em serviço de alimentação para reduzir desperdício</x:t>
        </x:is>
      </x:c>
      <x:c r="D11" s="11" t="inlineStr">
        <x:is>
          <x:t xml:space="preserve">Food Waste in Schools: A Pre-/Post-Test Study Design Examining the Impact of a Food Service Training Intervention to Reduce Food Waste</x:t>
        </x:is>
      </x:c>
      <x:c r="E11" s="11" t="n">
        <x:v>2021</x:v>
      </x:c>
      <x:c r="F11" s="11" t="inlineStr">
        <x:is>
          <x:t xml:space="preserve">Sara A. Elnakib; Virginia Quick; Mariel Mendez; Shauna Downs; Olivia A. Wackowski; Mark G. Robson</x:t>
        </x:is>
      </x:c>
      <x:c r="G11" s="11" t="inlineStr">
        <x:is>
          <x:t xml:space="preserve">Artigo empírico</x:t>
        </x:is>
      </x:c>
      <x:c r="H11" s="11" t="inlineStr">
        <x:is>
          <x:t xml:space="preserve">International Journal of Environmental Research and Public Health, 18, 6389</x:t>
        </x:is>
      </x:c>
      <x:c r="I11" s="4" t="inlineStr">
        <x:is>
          <x:t xml:space="preserve">https://doi.org/10.3390/ijerph18126389</x:t>
        </x:is>
      </x:c>
      <x:c r="J11" s="11" t="n">
        <x:v>4</x:v>
      </x:c>
      <x:c r="K11" s="11" t="inlineStr">
        <x:is>
          <x:t xml:space="preserve">Problema; contexto; método; comparação</x:t>
        </x:is>
      </x:c>
      <x:c r="L11" s="11" t="inlineStr">
        <x:is>
          <x:t xml:space="preserve">Introdução; referencial teórico; discussão; trabalhos futuros</x:t>
        </x:is>
      </x:c>
      <x:c r="M11" s="11" t="inlineStr">
        <x:is>
          <x:t xml:space="preserve">Conecta-se diretamente ao contexto de alimentação escolar, embora o foco seja intervenção operacional e comportamental, não previsão de demanda. Ajuda a justificar que o desperdício em escolas é mensurável, relevante e sensível a decisões de gestão do serviço de alimentação.</x:t>
        </x:is>
      </x:c>
      <x:c r="N11" s="11" t="inlineStr">
        <x:is>
          <x:t xml:space="preserve">O estudo mediu 9.258 bandejas antes e depois de uma intervenção com trabalhadores do serviço de alimentação. Encontrou redução significativa de 7,0% no desperdício total, com reduções em frutas, vegetais e leite. Também mostrou que a consistência das estratégias implementadas influencia o resultado.</x:t>
        </x:is>
      </x:c>
      <x:c r="O11" s="11" t="inlineStr">
        <x:is>
          <x:t xml:space="preserve">Pode sustentar a parte da dissertação que afirma que o desperdício escolar não depende apenas do consumo final, mas também de práticas operacionais, treinamento, ambiente alimentar e monitoramento.</x:t>
        </x:is>
      </x:c>
      <x:c r="P11" s="11" t="inlineStr">
        <x:is>
          <x:t xml:space="preserve">Intervenções no serviço de alimentação escolar podem reduzir desperdícios, mas sua efetividade depende da consistência de implementação, do monitoramento e da capacidade de medir o desperdício por componentes alimentares.</x:t>
        </x:is>
      </x:c>
      <x:c r="Q11" s="11" t="inlineStr">
        <x:is>
          <x:t xml:space="preserve">Não trata previsão de demanda nem machine learning. O desenho não teve grupo controle, então não deve ser usado para afirmar causalidade forte. Serve melhor para problema, contexto e importância de gestão operacional.</x:t>
        </x:is>
      </x:c>
      <x:c r="R11" s="11" t="inlineStr">
        <x:is>
          <x:t xml:space="preserve">Aproveitar fortemente</x:t>
        </x:is>
      </x:c>
    </x:row>
    <x:row r="12" s="12" customFormat="1" ht="22.5" customHeight="1">
      <x:c r="A12" s="11" t="inlineStr">
        <x:is>
          <x:t xml:space="preserve">A011</x:t>
        </x:is>
      </x:c>
      <x:c r="B12" s="4" t="inlineStr">
        <x:is>
          <x:t xml:space="preserve">https://drive.google.com/file/d/1xeyDuMnVSW7VBtxFnZ4uLNXZKDSwt7R6/view?usp=drive_link</x:t>
        </x:is>
      </x:c>
      <x:c r="C12" s="11" t="inlineStr">
        <x:is>
          <x:t xml:space="preserve">Aprendizado profundo para inteligência artificial</x:t>
        </x:is>
      </x:c>
      <x:c r="D12" s="11" t="inlineStr">
        <x:is>
          <x:t xml:space="preserve">Deep Learning for AI</x:t>
        </x:is>
      </x:c>
      <x:c r="E12" s="11" t="n">
        <x:v>2021</x:v>
      </x:c>
      <x:c r="F12" s="11" t="inlineStr">
        <x:is>
          <x:t xml:space="preserve">Yoshua Bengio; Yann LeCun; Geoffrey Hinton</x:t>
        </x:is>
      </x:c>
      <x:c r="G12" s="11" t="inlineStr">
        <x:is>
          <x:t xml:space="preserve">Artigo conceitual / Turing Lecture</x:t>
        </x:is>
      </x:c>
      <x:c r="H12" s="11" t="inlineStr">
        <x:is>
          <x:t xml:space="preserve">Communications of the ACM</x:t>
        </x:is>
      </x:c>
      <x:c r="I12" s="4" t="inlineStr">
        <x:is>
          <x:t xml:space="preserve">https://doi.org/10.1145/3448250</x:t>
        </x:is>
      </x:c>
      <x:c r="J12" s="11" t="n">
        <x:v>3</x:v>
      </x:c>
      <x:c r="K12" s="11" t="inlineStr">
        <x:is>
          <x:t xml:space="preserve">Técnica; referencial; limitação</x:t>
        </x:is>
      </x:c>
      <x:c r="L12" s="11" t="inlineStr">
        <x:is>
          <x:t xml:space="preserve">Referencial teórico; seção sobre aprendizado profundo, BERT e representações textuais</x:t>
        </x:is>
      </x:c>
      <x:c r="M12" s="11" t="inlineStr">
        <x:is>
          <x:t xml:space="preserve">Conecta-se ao projeto por fundamentar deep learning, aprendizado de representações, Transformers e BERT. É útil para explicar por que representações densas de texto podem capturar padrões semânticos, mas não é diretamente sobre previsão de demanda.</x:t>
        </x:is>
      </x:c>
      <x:c r="N12" s="11" t="inlineStr">
        <x:is>
          <x:t xml:space="preserve">O artigo explica que deep learning aprende representações internas em múltiplas camadas e que Transformers revolucionaram o processamento de linguagem natural. Também aponta desafios como generalização fora da distribuição de treino e aprendizagem com pouca supervisão.</x:t>
        </x:is>
      </x:c>
      <x:c r="O12" s="11" t="inlineStr">
        <x:is>
          <x:t xml:space="preserve">Pode ser usado para fundamentar a ideia de embeddings e representações semânticas do cardápio, junto com Vaswani e Devlin. Também ajuda a reconhecer que modelos profundos exigem muitos dados e boa validação.</x:t>
        </x:is>
      </x:c>
      <x:c r="P12" s="11" t="inlineStr">
        <x:is>
          <x:t xml:space="preserve">Bengio, LeCun e Hinton (2021) explicam que o aprendizado profundo se destaca por aprender representações internas em múltiplas camadas, mas também ressaltam desafios de generalização, especialmente quando os dados de teste diferem da distribuição de treinamento.</x:t>
        </x:is>
      </x:c>
      <x:c r="Q12" s="11" t="inlineStr">
        <x:is>
          <x:t xml:space="preserve">Como a dissertação usa BERT de forma exploratória e não treina deep learning do zero, este artigo deve ser apoio conceitual, não referência principal para os resultados.</x:t>
        </x:is>
      </x:c>
      <x:c r="R12" s="11" t="inlineStr">
        <x:is>
          <x:t xml:space="preserve">Aproveitar parcialmente</x:t>
        </x:is>
      </x:c>
    </x:row>
    <x:row r="13" s="12" customFormat="1" ht="22.5" customHeight="1">
      <x:c r="A13" s="11" t="inlineStr">
        <x:is>
          <x:t xml:space="preserve">A012</x:t>
        </x:is>
      </x:c>
      <x:c r="B13" s="4" t="inlineStr">
        <x:is>
          <x:t xml:space="preserve">https://drive.google.com/file/d/1OKKTmgRC-93zjpFZ-43F6u-VTxewf73C/view?usp=drive_link</x:t>
        </x:is>
      </x:c>
      <x:c r="C13" s="11" t="inlineStr">
        <x:is>
          <x:t xml:space="preserve">Ciência de dados: significado, métodos, tecnologias e desenvolvimento</x:t>
        </x:is>
      </x:c>
      <x:c r="D13" s="11" t="inlineStr">
        <x:is>
          <x:t xml:space="preserve">Data science: connotation, methods, technologies, and development</x:t>
        </x:is>
      </x:c>
      <x:c r="E13" s="11" t="n">
        <x:v>2021</x:v>
      </x:c>
      <x:c r="F13" s="11" t="inlineStr">
        <x:is>
          <x:t xml:space="preserve">Zongben Xu; Niansheng Tang; Chen Xu; Xueqi Cheng</x:t>
        </x:is>
      </x:c>
      <x:c r="G13" s="11" t="inlineStr">
        <x:is>
          <x:t xml:space="preserve">Artigo conceitual</x:t>
        </x:is>
      </x:c>
      <x:c r="H13" s="11" t="inlineStr">
        <x:is>
          <x:t xml:space="preserve">Data Science and Management</x:t>
        </x:is>
      </x:c>
      <x:c r="I13" s="4" t="inlineStr">
        <x:is>
          <x:t xml:space="preserve">https://doi.org/10.1016/j.dsm.2021.02.002</x:t>
        </x:is>
      </x:c>
      <x:c r="J13" s="11" t="n">
        <x:v>3</x:v>
      </x:c>
      <x:c r="K13" s="11" t="inlineStr">
        <x:is>
          <x:t xml:space="preserve">Método; contexto; engenharia de dados</x:t>
        </x:is>
      </x:c>
      <x:c r="L13" s="11" t="inlineStr">
        <x:is>
          <x:t xml:space="preserve">Referencial teórico; metodologia; arquitetura de dados</x:t>
        </x:is>
      </x:c>
      <x:c r="M13" s="11" t="inlineStr">
        <x:is>
          <x:t xml:space="preserve">É útil para sustentar o conceito amplo de ciência de dados como cadeia de valor: coleta, armazenamento, processamento, análise, aplicação e decisão. Conecta bem com o pipeline Bronze/Silver/Gold e com a ideia de transformar dados brutos em base analítica.</x:t>
        </x:is>
      </x:c>
      <x:c r="N13" s="11" t="inlineStr">
        <x:is>
          <x:t xml:space="preserve">O artigo descreve a ciência de dados como realização da cadeia de valor dos dados, passando de dados para informação, conhecimento e tomada de decisão. Também enfatiza integração interdisciplinar e metodologia híbrida de modelagem, análise, computação e aprendizagem.</x:t>
        </x:is>
      </x:c>
      <x:c r="O13" s="11" t="inlineStr">
        <x:is>
          <x:t xml:space="preserve">Pode justificar que o projeto não é apenas treinamento de modelos, mas um processo de ciência de dados que começa na coleta/integração e termina em apoio à decisão.</x:t>
        </x:is>
      </x:c>
      <x:c r="P13" s="11" t="inlineStr">
        <x:is>
          <x:t xml:space="preserve">Xu et al. (2021) definem ciência de dados como uma metodologia voltada à realização da cadeia de valor dos dados, na qual dados são transformados em informação, conhecimento e suporte à decisão por meio de modelagem, análise, computação e aprendizagem.</x:t>
        </x:is>
      </x:c>
      <x:c r="Q13" s="11" t="inlineStr">
        <x:is>
          <x:t xml:space="preserve">É conceitual e amplo. Não usar para justificar escolhas técnicas específicas como BERT, ExtraTrees ou imputação.</x:t>
        </x:is>
      </x:c>
      <x:c r="R13" s="11" t="inlineStr">
        <x:is>
          <x:t xml:space="preserve">Aproveitar parcialmente</x:t>
        </x:is>
      </x:c>
    </x:row>
    <x:row r="14" s="12" customFormat="1" ht="22.5" customHeight="1">
      <x:c r="A14" s="11" t="inlineStr">
        <x:is>
          <x:t xml:space="preserve">A013</x:t>
        </x:is>
      </x:c>
      <x:c r="B14" s="4" t="inlineStr">
        <x:is>
          <x:t xml:space="preserve">https://drive.google.com/file/d/1M6Th0Y2zfTKVoSH7jvNqTglt422yUntz/view?usp=drive_link</x:t>
        </x:is>
      </x:c>
      <x:c r="C14" s="11" t="inlineStr">
        <x:is>
          <x:t xml:space="preserve">Uma revisão sobre avaliação de grandes modelos de linguagem</x:t>
        </x:is>
      </x:c>
      <x:c r="D14" s="11" t="inlineStr">
        <x:is>
          <x:t xml:space="preserve">A Survey on Evaluation of Large Language Models</x:t>
        </x:is>
      </x:c>
      <x:c r="E14" s="11" t="n">
        <x:v>2024</x:v>
      </x:c>
      <x:c r="F14" s="11" t="inlineStr">
        <x:is>
          <x:t xml:space="preserve">Yupeng Chang; Xu Wang; Jindong Wang; Yuan Wu; Linyi Yang; Kaijie Zhu; Hao Chen; Xiaoyuan Yi; Cunxiang Wang; Yidong Wang; Wei Ye; Yue Zhang; Yi Chang; Philip S. Yu; Qiang Yang; Xing Xie</x:t>
        </x:is>
      </x:c>
      <x:c r="G14" s="11" t="inlineStr">
        <x:is>
          <x:t xml:space="preserve">Revisão/survey</x:t>
        </x:is>
      </x:c>
      <x:c r="H14" s="11" t="inlineStr">
        <x:is>
          <x:t xml:space="preserve">ACM Transactions on Intelligent Systems and Technology</x:t>
        </x:is>
      </x:c>
      <x:c r="I14" s="4" t="inlineStr">
        <x:is>
          <x:t xml:space="preserve">https://doi.org/10.1145/3641289</x:t>
        </x:is>
      </x:c>
      <x:c r="J14" s="11" t="n">
        <x:v>2</x:v>
      </x:c>
      <x:c r="K14" s="11" t="inlineStr">
        <x:is>
          <x:t xml:space="preserve">Técnica; avaliação; limitação; trabalhos futuros</x:t>
        </x:is>
      </x:c>
      <x:c r="L14" s="11" t="inlineStr">
        <x:is>
          <x:t xml:space="preserve">Referencial teórico; limitações; trabalhos futuros</x:t>
        </x:is>
      </x:c>
      <x:c r="M14" s="11" t="inlineStr">
        <x:is>
          <x:t xml:space="preserve">A relação é indireta. O projeto usa BERT/embeddings, não LLMs generativos como núcleo metodológico. Ainda assim, o artigo é útil se a dissertação discutir uso de modelos de linguagem, avaliação, confiabilidade, riscos e limitações de IA generativa.</x:t>
        </x:is>
      </x:c>
      <x:c r="N14" s="11" t="inlineStr">
        <x:is>
          <x:t xml:space="preserve">O artigo propõe avaliar LLMs a partir de três questões: o que avaliar, onde avaliar e como avaliar. Destaca robustez, confiabilidade, benchmarks, riscos, factualidade e alucinações. Também mostra que bons resultados dependem de protocolos de avaliação adequados.</x:t>
        </x:is>
      </x:c>
      <x:c r="O14" s="11" t="inlineStr">
        <x:is>
          <x:t xml:space="preserve">Pode ser usado para reforçar que modelos de linguagem não devem ser assumidos como superiores sem avaliação empírica. Também apoia cautela com agentes/LLMs em apoio à pesquisa, caso isso apareça na metodologia auxiliar.</x:t>
        </x:is>
      </x:c>
      <x:c r="P14" s="11" t="inlineStr">
        <x:is>
          <x:t xml:space="preserve">Chang et al. (2024) argumentam que a avaliação de grandes modelos de linguagem deve considerar tarefas, benchmarks, métodos, robustez, confiabilidade e riscos, pois o desempenho aparente pode variar conforme o protocolo de avaliação adotado.</x:t>
        </x:is>
      </x:c>
      <x:c r="Q14" s="11" t="inlineStr">
        <x:is>
          <x:t xml:space="preserve">Não confundir LLM generativo com BERT usado como extrator de embeddings. Para BERT, Devlin et al. e Vaswani et al. continuam mais centrais.</x:t>
        </x:is>
      </x:c>
      <x:c r="R14" s="11" t="inlineStr">
        <x:is>
          <x:t xml:space="preserve">Apoio pontual</x:t>
        </x:is>
      </x:c>
    </x:row>
    <x:row r="15" s="12" customFormat="1" ht="22.5" customHeight="1">
      <x:c r="A15" s="11" t="inlineStr">
        <x:is>
          <x:t xml:space="preserve">A014</x:t>
        </x:is>
      </x:c>
      <x:c r="B15" s="4" t="inlineStr">
        <x:is>
          <x:t xml:space="preserve">https://drive.google.com/file/d/1QaypwMWOLMLaG6b82wGfuNLfB1k3VxT1/view?usp=drive_link</x:t>
        </x:is>
      </x:c>
      <x:c r="C15" s="11" t="inlineStr">
        <x:is>
          <x:t xml:space="preserve">Revisão sobre grandes modelos de linguagem: arquiteturas, aplicações, taxonomias, questões em aberto e desafios</x:t>
        </x:is>
      </x:c>
      <x:c r="D15" s="11" t="inlineStr">
        <x:is>
          <x:t xml:space="preserve">A Review on Large Language Models: Architectures, Applications, Taxonomies, Open Issues and Challenges</x:t>
        </x:is>
      </x:c>
      <x:c r="E15" s="11" t="n">
        <x:v>2024</x:v>
      </x:c>
      <x:c r="F15" s="11" t="inlineStr">
        <x:is>
          <x:t xml:space="preserve">Mohaimenul Azam Khan Raiaan; Md. Saddam Hossain Mukta; Kaniz Fatema; Nur Mohammad Fahad; Sadman Sakib; Most Marufatul Jannat Mim; Jubaer Ahmad; Mohammed Eunus Ali; Sami Azam</x:t>
        </x:is>
      </x:c>
      <x:c r="G15" s="11" t="inlineStr">
        <x:is>
          <x:t xml:space="preserve">Revisão/survey</x:t>
        </x:is>
      </x:c>
      <x:c r="H15" s="11" t="inlineStr">
        <x:is>
          <x:t xml:space="preserve">IEEE Access</x:t>
        </x:is>
      </x:c>
      <x:c r="I15" s="4" t="inlineStr">
        <x:is>
          <x:t xml:space="preserve">https://doi.org/10.1109/ACCESS.2024.3365742</x:t>
        </x:is>
      </x:c>
      <x:c r="J15" s="11" t="n">
        <x:v>2</x:v>
      </x:c>
      <x:c r="K15" s="11" t="inlineStr">
        <x:is>
          <x:t xml:space="preserve">Técnica; NLP; limitação; trabalhos futuros</x:t>
        </x:is>
      </x:c>
      <x:c r="L15" s="11" t="inlineStr">
        <x:is>
          <x:t xml:space="preserve">Referencial teórico; trabalhos futuros; limitações</x:t>
        </x:is>
      </x:c>
      <x:c r="M15" s="11" t="inlineStr">
        <x:is>
          <x:t xml:space="preserve">A relação é indireta, mas útil para contextualizar LLMs, Transformers, pré-treinamento, aplicações e desafios. Pode apoiar a seção de linguagem natural se a dissertação ampliar a discussão para modelos de linguagem mais recentes.</x:t>
        </x:is>
      </x:c>
      <x:c r="N15" s="11" t="inlineStr">
        <x:is>
          <x:t xml:space="preserve">O artigo revisa arquitetura Transformer, modelos pré-treinados, aplicações e desafios. Destaca problemas como ética, dados em escala, privacidade, avaliação complexa e necessidade de métricas robustas.</x:t>
        </x:is>
      </x:c>
      <x:c r="O15" s="11" t="inlineStr">
        <x:is>
          <x:t xml:space="preserve">Pode ser usado para uma frase curta sobre a evolução dos modelos de linguagem após BERT e sobre desafios de uso em cenários reais.</x:t>
        </x:is>
      </x:c>
      <x:c r="P15" s="11" t="inlineStr">
        <x:is>
          <x:t xml:space="preserve">Raiaan et al. (2024) mostram que modelos de linguagem baseados em Transformers ampliaram significativamente as aplicações de NLP, mas sua adoção em cenários reais ainda exige atenção a privacidade, avaliação, escalabilidade, ética e confiabilidade.</x:t>
        </x:is>
      </x:c>
      <x:c r="Q15" s="11" t="inlineStr">
        <x:is>
          <x:t xml:space="preserve">Não é central para o projeto atual. Evitar transformar a dissertação em discussão sobre LLMs se o artefato usa apenas BERT/PCA como bloco exploratório.</x:t>
        </x:is>
      </x:c>
      <x:c r="R15" s="11" t="inlineStr">
        <x:is>
          <x:t xml:space="preserve">Apoio pontual</x:t>
        </x:is>
      </x:c>
    </x:row>
    <x:row r="16" s="12" customFormat="1" ht="22.5" customHeight="1">
      <x:c r="A16" s="11" t="inlineStr">
        <x:is>
          <x:t xml:space="preserve">A015</x:t>
        </x:is>
      </x:c>
      <x:c r="B16" s="4" t="inlineStr">
        <x:is>
          <x:t xml:space="preserve">https://drive.google.com/file/d/1NgAlZX8QF-C0saIMyNjrnCrc-nHeNwJH/view?usp=drive_link</x:t>
        </x:is>
      </x:c>
      <x:c r="C16" s="11" t="inlineStr">
        <x:is>
          <x:t xml:space="preserve">Aprendizado profundo aplicado a preços de ações: ajuste de épocas no treinamento de uma rede neural LSTM</x:t>
        </x:is>
      </x:c>
      <x:c r="D16" s="11" t="inlineStr">
        <x:is>
          <x:t xml:space="preserve">Deep Learning Applied to Stock Prices: Epoch Adjustment in Training an LSTM Neural Network</x:t>
        </x:is>
      </x:c>
      <x:c r="E16" s="11" t="n">
        <x:v>2024</x:v>
      </x:c>
      <x:c r="F16" s="11" t="inlineStr">
        <x:is>
          <x:t xml:space="preserve">Napoleão Verardi Galegale; Camilo Ilzo Shimabukuro</x:t>
        </x:is>
      </x:c>
      <x:c r="G16" s="11" t="inlineStr">
        <x:is>
          <x:t xml:space="preserve">Artigo</x:t>
        </x:is>
      </x:c>
      <x:c r="H16" s="11" t="inlineStr">
        <x:is>
          <x:t xml:space="preserve">International Journal of Business and Management, 19(4)</x:t>
        </x:is>
      </x:c>
      <x:c r="I16" s="4" t="inlineStr">
        <x:is>
          <x:t xml:space="preserve">https://doi.org/10.5539/ijbm.v19n4p80</x:t>
        </x:is>
      </x:c>
      <x:c r="J16" s="11" t="n">
        <x:v>3</x:v>
      </x:c>
      <x:c r="K16" s="11" t="inlineStr">
        <x:is>
          <x:t xml:space="preserve">Técnica; limitação; trabalhos futuros</x:t>
        </x:is>
      </x:c>
      <x:c r="L16" s="11" t="inlineStr">
        <x:is>
          <x:t xml:space="preserve">Metodologia; modelagem futura; limitações</x:t>
        </x:is>
      </x:c>
      <x:c r="M16" s="11" t="inlineStr">
        <x:is>
          <x:t xml:space="preserve">Conecta-se ao projeto por discutir LSTM em séries temporais, ajuste de épocas, risco de sobreajuste e uso de early stopping. Embora o domínio seja financeiro, o problema metodológico é semelhante: prever uma série temporal com ruído e evitar que o modelo memorize o treino.</x:t>
        </x:is>
      </x:c>
      <x:c r="N16" s="11" t="inlineStr">
        <x:is>
          <x:t xml:space="preserve">O artigo mostra que o número de épocas afeta a dispersão do erro e que há uma faixa de treinamento em que o ganho preditivo melhora antes de estabilizar. Também reforça a importância de regularização e comparação com métodos concorrentes.</x:t>
        </x:is>
      </x:c>
      <x:c r="O16" s="11" t="inlineStr">
        <x:is>
          <x:t xml:space="preserve">LSTM pode ser considerada em etapa futura para demanda diária, mas deve ser ajustada com validação temporal, controle de épocas, early stopping e comparação contra modelos mais simples.</x:t>
        </x:is>
      </x:c>
      <x:c r="P16" s="11" t="inlineStr">
        <x:is>
          <x:t xml:space="preserve">Modelos recorrentes, como LSTM, podem ser avaliados para previsão de demanda, desde que seu treinamento seja controlado por estratégias de regularização e validação temporal para reduzir risco de sobreajuste.</x:t>
        </x:is>
      </x:c>
      <x:c r="Q16" s="11" t="inlineStr">
        <x:is>
          <x:t xml:space="preserve">O estudo usa preços de ações, não alimentação escolar. Não deve ser usado para justificar resultado empírico do restaurante, apenas cuidados metodológicos em redes neurais temporais.</x:t>
        </x:is>
      </x:c>
      <x:c r="R16" s="11" t="inlineStr">
        <x:is>
          <x:t xml:space="preserve">Aproveitar parcialmente</x:t>
        </x:is>
      </x:c>
    </x:row>
    <x:row r="17" s="12" customFormat="1" ht="22.5" customHeight="1">
      <x:c r="A17" s="11" t="inlineStr">
        <x:is>
          <x:t xml:space="preserve">A010</x:t>
        </x:is>
      </x:c>
      <x:c r="B17" s="4" t="inlineStr">
        <x:is>
          <x:t xml:space="preserve">https://drive.google.com/file/d/1fxrfmcZ4p1kKb_KAqy2QO4ZCTpMRpVut/view?usp=sharing</x:t>
        </x:is>
      </x:c>
      <x:c r="C17" s="11" t="inlineStr">
        <x:is>
          <x:t xml:space="preserve">Garantindo a robustez e a confiabilidade de modelos de descoberta de conhecimento orientados por dados em produção e manufatura</x:t>
        </x:is>
      </x:c>
      <x:c r="D17" s="11" t="inlineStr">
        <x:is>
          <x:t xml:space="preserve">Ensuring the Robustness and Reliability of Data-Driven Knowledge Discovery Models in Production and Manufacturing</x:t>
        </x:is>
      </x:c>
      <x:c r="E17" s="11" t="n">
        <x:v>2021</x:v>
      </x:c>
      <x:c r="F17" s="11" t="inlineStr">
        <x:is>
          <x:t xml:space="preserve">Shailesh Tripathi; David Muhr; Manuel Brunner; Herbert Jodlbauer; Matthias Dehmer; Frank Emmert-Streib</x:t>
        </x:is>
      </x:c>
      <x:c r="G17" s="11" t="inlineStr">
        <x:is>
          <x:t xml:space="preserve">Artigo de revisão</x:t>
        </x:is>
      </x:c>
      <x:c r="H17" s="11" t="inlineStr">
        <x:is>
          <x:t xml:space="preserve">Frontiers in Artificial Intelligence</x:t>
        </x:is>
      </x:c>
      <x:c r="I17" s="4" t="inlineStr">
        <x:is>
          <x:t xml:space="preserve">https://doi.org/10.3389/frai.2021.576892</x:t>
        </x:is>
      </x:c>
      <x:c r="J17" s="11" t="n">
        <x:v>5</x:v>
      </x:c>
      <x:c r="K17" s="11" t="inlineStr">
        <x:is>
          <x:t xml:space="preserve">Método; limitação; validação; robustez</x:t>
        </x:is>
      </x:c>
      <x:c r="L17" s="11" t="inlineStr">
        <x:is>
          <x:t xml:space="preserve">Metodologia; engenharia de dados; validação dos modelos; limitações</x:t>
        </x:is>
      </x:c>
      <x:c r="M17" s="11" t="inlineStr">
        <x:is>
          <x:t xml:space="preserve">É altamente aderente ao projeto. Sustenta a preocupação com robustez, confiabilidade, qualidade dos dados, pré-processamento, avaliação, interpretação e adaptação de frameworks como CRISP-DM/GCRISP-DS para problemas produtivos reais.</x:t>
        </x:is>
      </x:c>
      <x:c r="N17" s="11" t="inlineStr">
        <x:is>
          <x:t xml:space="preserve">O artigo mostra que modelos orientados por dados em ambientes produtivos enfrentam problemas de dados ausentes, dados corrompidos, deriva de dados, alta dimensionalidade, escolha de algoritmo, interpretação e avaliação. Também defende frameworks flexíveis e customizáveis.</x:t>
        </x:is>
      </x:c>
      <x:c r="O17" s="11" t="inlineStr">
        <x:is>
          <x:t xml:space="preserve">Pode justificar a arquitetura em camadas, a rastreabilidade Bronze/Silver/Gold, os marcadores de qualidade, a separação entre observado/estimado/modelagem e o cuidado em não tratar modelos como caixas-pretas sem auditoria.</x:t>
        </x:is>
      </x:c>
      <x:c r="P17" s="11" t="inlineStr">
        <x:is>
          <x:t xml:space="preserve">Tripathi et al. (2021) destacam que modelos de descoberta de conhecimento orientados por dados precisam tratar explicitamente problemas de qualidade, robustez, avaliação e interpretação, especialmente quando aplicados a processos produtivos reais.</x:t>
        </x:is>
      </x:c>
      <x:c r="Q17" s="11" t="inlineStr">
        <x:is>
          <x:t xml:space="preserve">Não é sobre restaurante escolar, mas o contexto de produção/manufatura é próximo da lógica de sistemas produtivos. Usar como base metodológica forte, não como evidência específica sobre desperdício alimentar.</x:t>
        </x:is>
      </x:c>
      <x:c r="R17" s="11" t="inlineStr">
        <x:is>
          <x:t xml:space="preserve">Aproveitar fortemente</x:t>
        </x:is>
      </x:c>
    </x:row>
    <x:row r="18" s="12" customFormat="1" ht="22.5" customHeight="1">
      <x:c r="A18" s="11" t="inlineStr">
        <x:is>
          <x:t xml:space="preserve">A017</x:t>
        </x:is>
      </x:c>
      <x:c r="B18" s="4" t="inlineStr">
        <x:is>
          <x:t xml:space="preserve">https://drive.google.com/file/d/119_LNDmsD4hRo3LTzLHVrWEo1bqdnzjj/view?usp=drive_link</x:t>
        </x:is>
      </x:c>
      <x:c r="C18" s="11" t="inlineStr">
        <x:is>
          <x:t xml:space="preserve">Análise comparativa de estratégias de otimização para agrupamento K-means em contextos de Big Data: uma revisão</x:t>
        </x:is>
      </x:c>
      <x:c r="D18" s="11" t="inlineStr">
        <x:is>
          <x:t xml:space="preserve">Comparative Analysis of Optimization Strategies for K-means Clustering in Big Data Contexts: A Review</x:t>
        </x:is>
      </x:c>
      <x:c r="E18" s="11" t="n">
        <x:v>2024</x:v>
      </x:c>
      <x:c r="F18" s="11" t="inlineStr">
        <x:is>
          <x:t xml:space="preserve">Ravil Mussabayev; Rustam Mussabayev</x:t>
        </x:is>
      </x:c>
      <x:c r="G18" s="11" t="inlineStr">
        <x:is>
          <x:t xml:space="preserve">Revisão/preprint</x:t>
        </x:is>
      </x:c>
      <x:c r="H18" s="11" t="inlineStr">
        <x:is>
          <x:t xml:space="preserve">Expert Systems with Applications, versão preprint indicada no arquivo</x:t>
        </x:is>
      </x:c>
      <x:c r="I18" s="11" t="inlineStr">
        <x:is>
          <x:t xml:space="preserve">Não identificado com segurança no texto extraído</x:t>
        </x:is>
      </x:c>
      <x:c r="J18" s="11" t="n">
        <x:v>2</x:v>
      </x:c>
      <x:c r="K18" s="11" t="inlineStr">
        <x:is>
          <x:t xml:space="preserve">Técnica; comparação; trabalhos futuros</x:t>
        </x:is>
      </x:c>
      <x:c r="L18" s="11" t="inlineStr">
        <x:is>
          <x:t xml:space="preserve">Referencial teórico pontual; trabalhos futuros</x:t>
        </x:is>
      </x:c>
      <x:c r="M18" s="11" t="inlineStr">
        <x:is>
          <x:t xml:space="preserve">Tem conexão indireta com o projeto caso sejam usados agrupamentos para segmentar dias, perfis de demanda, cardápios ou padrões operacionais. Ajuda mais em uma etapa exploratória ou futura do que no núcleo atual da dissertação.</x:t>
        </x:is>
      </x:c>
      <x:c r="N18" s="11" t="inlineStr">
        <x:is>
          <x:t xml:space="preserve">O artigo discute trade-offs entre qualidade, velocidade e simplicidade em K-means, especialmente em grandes bases. Reforça que não há algoritmo universal e que a escolha depende do tipo de dado, escala e objetivo analítico.</x:t>
        </x:is>
      </x:c>
      <x:c r="O18" s="11" t="inlineStr">
        <x:is>
          <x:t xml:space="preserve">Clustering pode ser explorado futuramente para identificar regimes de demanda ou grupos de dias semelhantes, mas deve ser tratado como análise complementar, não como substituto da modelagem supervisionada.</x:t>
        </x:is>
      </x:c>
      <x:c r="P18" s="11" t="inlineStr">
        <x:is>
          <x:t xml:space="preserve">Técnicas de agrupamento podem apoiar a descoberta de padrões operacionais, mas sua aplicação deve considerar simplicidade, interpretabilidade e adequação ao volume e à estrutura dos dados.</x:t>
        </x:is>
      </x:c>
      <x:c r="Q18" s="11" t="inlineStr">
        <x:is>
          <x:t xml:space="preserve">O projeto atual não é Big Data e o objetivo principal é previsão supervisionada. Não usar como referência central.</x:t>
        </x:is>
      </x:c>
      <x:c r="R18" s="11" t="inlineStr">
        <x:is>
          <x:t xml:space="preserve">Apoio pontual</x:t>
        </x:is>
      </x:c>
    </x:row>
    <x:row r="19" s="12" customFormat="1" ht="22.5" customHeight="1">
      <x:c r="A19" s="11" t="inlineStr">
        <x:is>
          <x:t xml:space="preserve">A018</x:t>
        </x:is>
      </x:c>
      <x:c r="B19" s="4" t="inlineStr">
        <x:is>
          <x:t xml:space="preserve">https://drive.google.com/file/d/16cjE6fTeAoxxHcaEcNIHEkoHE38CR5rm/view?usp=drive_link</x:t>
        </x:is>
      </x:c>
      <x:c r="C19" s="11" t="inlineStr">
        <x:is>
          <x:t xml:space="preserve">Desbloqueando o potencial da inteligência artificial industrial rumo à Indústria 5.0: insights, caminhos e desafios</x:t>
        </x:is>
      </x:c>
      <x:c r="D19" s="11" t="inlineStr">
        <x:is>
          <x:t xml:space="preserve">Unlocking the power of industrial artificial intelligence towards Industry 5.0: Insights, pathways, and challenges</x:t>
        </x:is>
      </x:c>
      <x:c r="E19" s="11" t="n">
        <x:v>2024</x:v>
      </x:c>
      <x:c r="F19" s="11" t="inlineStr">
        <x:is>
          <x:t xml:space="preserve">Jiewu Leng; Xiaofeng Zhu; Zhiqiang Huang; Xingyu Li; Pai Zheng; Xueliang Zhou; Dimitris Mourtzis; Baicun Wang; Qinglin Qi; Haidong Shao; Jiafu Wan; Xin Chen; Lihui Wang; Qiang Liu</x:t>
        </x:is>
      </x:c>
      <x:c r="G19" s="11" t="inlineStr">
        <x:is>
          <x:t xml:space="preserve">Revisão/artigo de perspectiva</x:t>
        </x:is>
      </x:c>
      <x:c r="H19" s="11" t="inlineStr">
        <x:is>
          <x:t xml:space="preserve">Journal of Manufacturing Systems, 73</x:t>
        </x:is>
      </x:c>
      <x:c r="I19" s="4" t="inlineStr">
        <x:is>
          <x:t xml:space="preserve">https://doi.org/10.1016/j.jmsy.2024.02.010</x:t>
        </x:is>
      </x:c>
      <x:c r="J19" s="11" t="n">
        <x:v>3</x:v>
      </x:c>
      <x:c r="K19" s="11" t="inlineStr">
        <x:is>
          <x:t xml:space="preserve">Contexto; método; limitação; trabalhos futuros</x:t>
        </x:is>
      </x:c>
      <x:c r="L19" s="11" t="inlineStr">
        <x:is>
          <x:t xml:space="preserve">Introdução; referencial teórico; discussão; trabalhos futuros</x:t>
        </x:is>
      </x:c>
      <x:c r="M19" s="11" t="inlineStr">
        <x:is>
          <x:t xml:space="preserve">Útil para conectar o projeto com sistemas produtivos, IA aplicada, sustentabilidade, resiliência e uso responsável de algoritmos em contexto operacional. Não é sobre restaurante escolar, mas conversa bem com “sistemas produtivos” e decisão baseada em dados.</x:t>
        </x:is>
      </x:c>
      <x:c r="N19" s="11" t="inlineStr">
        <x:is>
          <x:t xml:space="preserve">O artigo defende que IA industrial deve ser orientada por valor, não por uso indiscriminado de modelos avançados. Aponta desafios de confiabilidade, segurança, adaptação, governança, explicabilidade e alinhamento entre algoritmo e cenário de aplicação.</x:t>
        </x:is>
      </x:c>
      <x:c r="O19" s="11" t="inlineStr">
        <x:is>
          <x:t xml:space="preserve">A dissertação pode usar esse artigo para justificar que a escolha de modelos deve considerar objetivo operacional, confiabilidade, sustentabilidade e adequação ao processo, não apenas sofisticação técnica.</x:t>
        </x:is>
      </x:c>
      <x:c r="P19" s="11" t="inlineStr">
        <x:is>
          <x:t xml:space="preserve">Em sistemas produtivos, a adoção de IA deve ser orientada pelo valor operacional e pela confiabilidade da decisão, evitando o uso de modelos complexos quando soluções mais simples e robustas atendem ao problema.</x:t>
        </x:is>
      </x:c>
      <x:c r="Q19" s="11" t="inlineStr">
        <x:is>
          <x:t xml:space="preserve">Contexto industrial amplo. Deve ser usado para enquadramento conceitual, não para afirmar evidências específicas sobre alimentação escolar.</x:t>
        </x:is>
      </x:c>
      <x:c r="R19" s="11" t="inlineStr">
        <x:is>
          <x:t xml:space="preserve">Aproveitar parcialmente</x:t>
        </x:is>
      </x:c>
    </x:row>
    <x:row r="20" s="12" customFormat="1" ht="22.5" customHeight="1">
      <x:c r="A20" s="11" t="inlineStr">
        <x:is>
          <x:t xml:space="preserve">A019</x:t>
        </x:is>
      </x:c>
      <x:c r="B20" s="4" t="inlineStr">
        <x:is>
          <x:t xml:space="preserve">https://drive.google.com/file/d/1WJLIpWiCgRMZl3l_dL9HuDwiHBmzmFWp/view?usp=drive_link</x:t>
        </x:is>
      </x:c>
      <x:c r="C20" s="11" t="inlineStr">
        <x:is>
          <x:t xml:space="preserve">Rumo a um futuro responsável: recomendações para apoio à decisão clínica habilitado por IA</x:t>
        </x:is>
      </x:c>
      <x:c r="D20" s="11" t="inlineStr">
        <x:is>
          <x:t xml:space="preserve">Toward a responsible future: recommendations for AI-enabled clinical decision support</x:t>
        </x:is>
      </x:c>
      <x:c r="E20" s="11" t="n">
        <x:v>2024</x:v>
      </x:c>
      <x:c r="F20" s="11" t="inlineStr">
        <x:is>
          <x:t xml:space="preserve">Steven Labkoff; Anthony Solomonides; Amanda L. Joseph; Kimberly Nolen; Deborah R. Levy; Jonathan D. Hron; Bilikis Oladimeji; Joseph Kannry; Russell Leftwich; Eileen Koski; Monica Lopez-Gonzalez; Sayon Dutta; Lee A. Fleisher; Amy Price; Paul J. Barr; Baihan Lin; Gyana Srivastava; Tien Thi Thuy Bui; Mark G. Weiner; Nuria Pastor; Reva Singh; Dean F. Sittig; Unai Sanchez Luque; Tristan Naumann; Tayler Williams; Gretchen Purcell Jackson; Yuri Quintana; outros</x:t>
        </x:is>
      </x:c>
      <x:c r="G20" s="11" t="inlineStr">
        <x:is>
          <x:t xml:space="preserve">Relato/case report com recomendações de consenso</x:t>
        </x:is>
      </x:c>
      <x:c r="H20" s="11" t="inlineStr">
        <x:is>
          <x:t xml:space="preserve">Journal of the American Medical Informatics Association, 31(11)</x:t>
        </x:is>
      </x:c>
      <x:c r="I20" s="4" t="inlineStr">
        <x:is>
          <x:t xml:space="preserve">https://doi.org/10.1093/jamia/ocae209</x:t>
        </x:is>
      </x:c>
      <x:c r="J20" s="11" t="n">
        <x:v>3</x:v>
      </x:c>
      <x:c r="K20" s="11" t="inlineStr">
        <x:is>
          <x:t xml:space="preserve">Método; limitação; governança; trabalhos futuros</x:t>
        </x:is>
      </x:c>
      <x:c r="L20" s="11" t="inlineStr">
        <x:is>
          <x:t xml:space="preserve">Metodologia; limitações; trabalhos futuros</x:t>
        </x:is>
      </x:c>
      <x:c r="M20" s="11" t="inlineStr">
        <x:is>
          <x:t xml:space="preserve">Conecta-se ao projeto por discutir avaliação, validação, monitoramento, documentação e segurança de sistemas de apoio à decisão com IA. Apesar do domínio clínico, a lógica de governança é aplicável a decisões operacionais baseadas em previsão.</x:t>
        </x:is>
      </x:c>
      <x:c r="N20" s="11" t="inlineStr">
        <x:is>
          <x:t xml:space="preserve">O artigo recomenda sistemas confiáveis, validação, certificação, monitoramento, documentação, reporte de eventos adversos, transparência sobre dados de treino e limites de uso.</x:t>
        </x:is>
      </x:c>
      <x:c r="O20" s="11" t="inlineStr">
        <x:is>
          <x:t xml:space="preserve">Pode sustentar a necessidade de documentar base Gold, critérios de imputação, qualidade dos dados, limites de uso e monitoramento futuro do modelo em operação.</x:t>
        </x:is>
      </x:c>
      <x:c r="P20" s="11" t="inlineStr">
        <x:is>
          <x:t xml:space="preserve">Sistemas de apoio à decisão baseados em IA exigem validação, documentação, monitoramento contínuo e comunicação explícita de limites, especialmente quando suas recomendações afetam decisões operacionais.</x:t>
        </x:is>
      </x:c>
      <x:c r="Q20" s="11" t="inlineStr">
        <x:is>
          <x:t xml:space="preserve">O contexto é saúde, muito mais crítico e regulado. Usar como analogia de governança e responsabilidade, não como referência direta de restaurante escolar.</x:t>
        </x:is>
      </x:c>
      <x:c r="R20" s="11" t="inlineStr">
        <x:is>
          <x:t xml:space="preserve">Aproveitar parcialmente</x:t>
        </x:is>
      </x:c>
    </x:row>
    <x:row r="21" s="12" customFormat="1" ht="22.5" customHeight="1">
      <x:c r="A21" s="11" t="inlineStr">
        <x:is>
          <x:t xml:space="preserve">A020</x:t>
        </x:is>
      </x:c>
      <x:c r="B21" s="4" t="inlineStr">
        <x:is>
          <x:t xml:space="preserve">https://drive.google.com/file/d/11whpocAqSIMrO3617LD3N_kPd_-5odBp/view?usp=drive_link</x:t>
        </x:is>
      </x:c>
      <x:c r="C21" s="11" t="inlineStr">
        <x:is>
          <x:t xml:space="preserve">Modelos de linguagem de grande porte são menos eficazes em tarefas de predição clínica do que modelos de aprendizado de máquina treinados localmente</x:t>
        </x:is>
      </x:c>
      <x:c r="D21" s="11" t="inlineStr">
        <x:is>
          <x:t xml:space="preserve">Large language models are less effective at clinical prediction tasks than locally trained machine learning models</x:t>
        </x:is>
      </x:c>
      <x:c r="E21" s="11" t="n">
        <x:v>2025</x:v>
      </x:c>
      <x:c r="F21" s="11" t="inlineStr">
        <x:is>
          <x:t xml:space="preserve">Katherine E. Brown; Chao Yan; Zhuohang Li; Xinmeng Zhang; Benjamin X. Collins; Murat Kantarcioglu; You Chen; Ellen Wright Clayton; Yevgeniy Vorobeychik; Bradley A. Malin</x:t>
        </x:is>
      </x:c>
      <x:c r="G21" s="11" t="inlineStr">
        <x:is>
          <x:t xml:space="preserve">Artigo empírico</x:t>
        </x:is>
      </x:c>
      <x:c r="H21" s="11" t="inlineStr">
        <x:is>
          <x:t xml:space="preserve">Journal of the American Medical Informatics Association</x:t>
        </x:is>
      </x:c>
      <x:c r="I21" s="4" t="inlineStr">
        <x:is>
          <x:t xml:space="preserve">https://doi.org/10.1093/jamia/ocaf038</x:t>
        </x:is>
      </x:c>
      <x:c r="J21" s="11" t="n">
        <x:v>3</x:v>
      </x:c>
      <x:c r="K21" s="11" t="inlineStr">
        <x:is>
          <x:t xml:space="preserve">Comparação; limitação; técnica</x:t>
        </x:is>
      </x:c>
      <x:c r="L21" s="11" t="inlineStr">
        <x:is>
          <x:t xml:space="preserve">Referencial teórico; metodologia; limitações; trabalhos futuros</x:t>
        </x:is>
      </x:c>
      <x:c r="M21" s="11" t="inlineStr">
        <x:is>
          <x:t xml:space="preserve">Relevante como alerta metodológico: LLMs não devem ser assumidos como superiores a modelos locais treinados com dados estruturados. Ajuda a justificar que BERT/PCA seja exploratório, enquanto a comparação principal deve envolver modelos supervisionados treinados nos dados do projeto.</x:t>
        </x:is>
      </x:c>
      <x:c r="N21" s="11" t="inlineStr">
        <x:is>
          <x:t xml:space="preserve">O estudo comparou GPT-3.5, GPT-4 e ML tradicional em tarefas clínicas. Modelos tradicionais com gradient boosting superaram LLMs em AUROC e calibração. O artigo também discute privacidade, fairness, calibração e robustez.</x:t>
        </x:is>
      </x:c>
      <x:c r="O21" s="11" t="inlineStr">
        <x:is>
          <x:t xml:space="preserve">Pode ser usado para sustentar cautela contra “usar IA generativa como preditor pronto” e reforçar a necessidade de validação temporal local.</x:t>
        </x:is>
      </x:c>
      <x:c r="P21" s="11" t="inlineStr">
        <x:is>
          <x:t xml:space="preserve">Mesmo modelos de linguagem avançados não substituem automaticamente modelos supervisionados treinados com dados locais; seu uso em previsão deve ser validado empiricamente e comparado contra linhas de base estruturadas.</x:t>
        </x:is>
      </x:c>
      <x:c r="Q21" s="11" t="inlineStr">
        <x:is>
          <x:t xml:space="preserve">Contexto clínico. Não é BERT aplicado a cardápio, nem previsão alimentar. Usar como cautela sobre LLMs e modelos não ajustados localmente.</x:t>
        </x:is>
      </x:c>
      <x:c r="R21" s="11" t="inlineStr">
        <x:is>
          <x:t xml:space="preserve">Aproveitar parcialmente</x:t>
        </x:is>
      </x:c>
    </x:row>
    <x:row r="22" s="12" customFormat="1" ht="22.5" customHeight="1">
      <x:c r="A22" s="7" t="inlineStr">
        <x:is>
          <x:t xml:space="preserve">A032</x:t>
        </x:is>
      </x:c>
      <x:c r="B22" s="4" t="inlineStr">
        <x:is>
          <x:t xml:space="preserve">https://drive.google.com/file/d/1UfUs_T8oiGavDT-qSll4ru2zwe3PNmFS/view?usp=drive_link</x:t>
        </x:is>
      </x:c>
      <x:c r="C22" s="11" t="inlineStr">
        <x:is>
          <x:t xml:space="preserve">Modelos de aprendizado de máquina para previsão de demanda de curto prazo em serviços de alimentação coletiva: uma solução para reduzir desperdício alimentar</x:t>
        </x:is>
      </x:c>
      <x:c r="D22" s="11" t="inlineStr">
        <x:is>
          <x:t xml:space="preserve">Machine learning models for short-term demand forecasting in food catering services: A solution to reduce food waste</x:t>
        </x:is>
      </x:c>
      <x:c r="E22" s="11" t="n">
        <x:v>2024</x:v>
      </x:c>
      <x:c r="F22" s="11" t="inlineStr">
        <x:is>
          <x:t xml:space="preserve">Miguel Rodrigues; Vera Miguéis; Susana Freitas; Telmo Machado</x:t>
        </x:is>
      </x:c>
      <x:c r="G22" s="11" t="inlineStr">
        <x:is>
          <x:t xml:space="preserve">Artigo empírico</x:t>
        </x:is>
      </x:c>
      <x:c r="H22" s="11" t="inlineStr">
        <x:is>
          <x:t xml:space="preserve">Journal of Cleaner Production, 435, 140265</x:t>
        </x:is>
      </x:c>
      <x:c r="I22" s="10" t="inlineStr">
        <x:is>
          <x:t xml:space="preserve">https://doi.org/10.1016/j.jclepro.2023.140265</x:t>
        </x:is>
      </x:c>
      <x:c r="J22" s="11" t="n">
        <x:v>5</x:v>
      </x:c>
      <x:c r="K22" s="11" t="inlineStr">
        <x:is>
          <x:t xml:space="preserve">Problema; método; técnica; comparação; limitação</x:t>
        </x:is>
      </x:c>
      <x:c r="L22" s="11" t="inlineStr">
        <x:is>
          <x:t xml:space="preserve">Introdução; referencial teórico; metodologia; discussão; trabalhos futuros</x:t>
        </x:is>
      </x:c>
      <x:c r="M22" s="11" t="inlineStr">
        <x:is>
          <x:t xml:space="preserve">É central para a dissertação. Trata diretamente previsão de demanda em serviços de alimentação, redução de desperdício, comparação de modelos e uso de baselines. Dialoga com seu pipeline de modelos e com a necessidade de comparar algoritmos por contexto.</x:t>
        </x:is>
      </x:c>
      <x:c r="N22" s="11" t="inlineStr">
        <x:is>
          <x:t xml:space="preserve">O artigo compara modelos baseados em Random Forest, LightGBM, LSTM e Transformer contra baselines. Os melhores resultados variaram por contexto: Random Forest teve melhor desempenho em cantinas escolares, enquanto LSTM se destacou em ambiente corporativo com série mais longa. O estudo reporta redução teórica de desperdício entre 14% e 52%.</x:t>
        </x:is>
      </x:c>
      <x:c r="O22" s="11" t="inlineStr">
        <x:is>
          <x:t xml:space="preserve">Serve para justificar modelos de árvores, LSTM, validação por janela temporal, comparação contra baseline, métricas como RMSE, MAPE e R², além de cautela contra “um único melhor algoritmo” para todos os cenários.</x:t>
        </x:is>
      </x:c>
      <x:c r="P22" s="11" t="inlineStr">
        <x:is>
          <x:t xml:space="preserve">A previsão de demanda em serviços de alimentação deve ser avaliada por contexto, pois diferentes algoritmos podem capturar padrões distintos conforme horizonte histórico, nível de demanda, disponibilidade de variáveis e tipo de operação.</x:t>
        </x:is>
      </x:c>
      <x:c r="Q22" s="11" t="inlineStr">
        <x:is>
          <x:t xml:space="preserve">O próprio artigo alerta que os resultados não devem ser generalizados diretamente, que os dados eram confidenciais e que os baselines foram construídos para simular práticas gerenciais. Também avaliou principalmente um prato específico, não o menu completo.</x:t>
        </x:is>
      </x:c>
      <x:c r="R22" s="11" t="inlineStr">
        <x:is>
          <x:t xml:space="preserve">Aproveitar fortemente</x:t>
        </x:is>
      </x:c>
    </x:row>
    <x:row r="23" s="12" customFormat="1" ht="22.5" customHeight="1">
      <x:c r="A23" s="11" t="inlineStr">
        <x:is>
          <x:t xml:space="preserve">A022</x:t>
        </x:is>
      </x:c>
      <x:c r="B23" s="4" t="inlineStr">
        <x:is>
          <x:t xml:space="preserve">https://drive.google.com/file/d/15Hpk8w_p97tchNQUiGmzW1kqucFKPihb/view?usp=drive_link</x:t>
        </x:is>
      </x:c>
      <x:c r="C23" s="11" t="inlineStr">
        <x:is>
          <x:t xml:space="preserve">Ciência de redes e IA explicável no gerenciamento do ciclo de vida de modelos de sustentabilidade</x:t>
        </x:is>
      </x:c>
      <x:c r="D23" s="11" t="inlineStr">
        <x:is>
          <x:t xml:space="preserve">Network science and explainable AI-based life cycle management of sustainability models</x:t>
        </x:is>
      </x:c>
      <x:c r="E23" s="11" t="n">
        <x:v>2024</x:v>
      </x:c>
      <x:c r="F23" s="11" t="inlineStr">
        <x:is>
          <x:t xml:space="preserve">Ádám Ipkovich; Tímea Czvetkó; Lilibeth A. Acosta; Sanga Lee; Innocent Nzimenyera; Viktor Sebestyén; János Abonyi</x:t>
        </x:is>
      </x:c>
      <x:c r="G23" s="11" t="inlineStr">
        <x:is>
          <x:t xml:space="preserve">Artigo empírico/metodológico</x:t>
        </x:is>
      </x:c>
      <x:c r="H23" s="11" t="inlineStr">
        <x:is>
          <x:t xml:space="preserve">PLOS ONE, 19(6), e0300531</x:t>
        </x:is>
      </x:c>
      <x:c r="I23" s="4" t="inlineStr">
        <x:is>
          <x:t xml:space="preserve">https://doi.org/10.1371/journal.pone.0300531</x:t>
        </x:is>
      </x:c>
      <x:c r="J23" s="11" t="n">
        <x:v>3</x:v>
      </x:c>
      <x:c r="K23" s="11" t="inlineStr">
        <x:is>
          <x:t xml:space="preserve">Método; técnica; limitação; trabalhos futuros</x:t>
        </x:is>
      </x:c>
      <x:c r="L23" s="11" t="inlineStr">
        <x:is>
          <x:t xml:space="preserve">Metodologia; discussão; trabalhos futuros</x:t>
        </x:is>
      </x:c>
      <x:c r="M23" s="11" t="inlineStr">
        <x:is>
          <x:t xml:space="preserve">Conecta-se ao projeto por defender ciclo de vida de modelos, MLOps, explicabilidade, qualidade dos dados e uso de métodos orientados à decisão em sustentabilidade. É útil para reforçar que modelos precisam ser monitorados, explicados e revisitados continuamente.</x:t>
        </x:is>
      </x:c>
      <x:c r="N23" s="11" t="inlineStr">
        <x:is>
          <x:t xml:space="preserve">O artigo propõe uso de MLOps, Shapley values e análise de redes para apoiar modelos de sustentabilidade e identificar pontos de intervenção. Destaca que má qualidade dos dados pode gerar conclusões incorretas sobre desempenho e efeitos das variáveis.</x:t>
        </x:is>
      </x:c>
      <x:c r="O23" s="11" t="inlineStr">
        <x:is>
          <x:t xml:space="preserve">Pode apoiar a discussão sobre rastreabilidade Bronze/Silver/Gold, validação contínua, explicabilidade e uso futuro de SHAP ou métodos similares para interpretar modelos de demanda.</x:t>
        </x:is>
      </x:c>
      <x:c r="P23" s="11" t="inlineStr">
        <x:is>
          <x:t xml:space="preserve">Em modelos voltados à sustentabilidade, a qualidade dos dados, a explicabilidade e a revisão contínua do ciclo de vida são condições necessárias para transformar previsões em apoio confiável à decisão.</x:t>
        </x:is>
      </x:c>
      <x:c r="Q23" s="11" t="inlineStr">
        <x:is>
          <x:t xml:space="preserve">O contexto é SDGs e modelos ambientais, não restaurante escolar. Usar como apoio metodológico, não como evidência direta sobre desperdício alimentar.</x:t>
        </x:is>
      </x:c>
      <x:c r="R23" s="11" t="inlineStr">
        <x:is>
          <x:t xml:space="preserve">Aproveitar parcialmente</x:t>
        </x:is>
      </x:c>
    </x:row>
    <x:row r="24" s="12" customFormat="1" ht="22.5" customHeight="1">
      <x:c r="A24" s="7" t="inlineStr">
        <x:is>
          <x:t xml:space="preserve">A053</x:t>
        </x:is>
      </x:c>
      <x:c r="B24" s="4" t="inlineStr">
        <x:is>
          <x:t xml:space="preserve">https://drive.google.com/file/d/1yiIaS2n208CY-1r7Yfrob0wd4aWUoOox/view?usp=sharing</x:t>
        </x:is>
      </x:c>
      <x:c r="C24" s="11" t="inlineStr">
        <x:is>
          <x:t xml:space="preserve">Uma metodologia de Design Science Research para pesquisa em Sistemas de Informação</x:t>
        </x:is>
      </x:c>
      <x:c r="D24" s="11" t="inlineStr">
        <x:is>
          <x:t xml:space="preserve">A Design Science Research Methodology for Information Systems Research</x:t>
        </x:is>
      </x:c>
      <x:c r="E24" s="11" t="n">
        <x:v>2007</x:v>
      </x:c>
      <x:c r="F24" s="11" t="inlineStr">
        <x:is>
          <x:t xml:space="preserve">Ken Peffers; Tuure Tuunanen; Marcus A. Rothenberger; Samir Chatterjee</x:t>
        </x:is>
      </x:c>
      <x:c r="G24" s="11" t="inlineStr">
        <x:is>
          <x:t xml:space="preserve">Artigo metodológico</x:t>
        </x:is>
      </x:c>
      <x:c r="H24" s="11" t="inlineStr">
        <x:is>
          <x:t xml:space="preserve">Journal of Management Information Systems</x:t>
        </x:is>
      </x:c>
      <x:c r="I24" s="11" t="inlineStr">
        <x:is>
          <x:t xml:space="preserve">10.2753/MIS0742-1222240302</x:t>
        </x:is>
      </x:c>
      <x:c r="J24" s="11" t="n">
        <x:v>5</x:v>
      </x:c>
      <x:c r="K24" s="11" t="inlineStr">
        <x:is>
          <x:t xml:space="preserve">Método; metodologia; DSR</x:t>
        </x:is>
      </x:c>
      <x:c r="L24" s="11" t="inlineStr">
        <x:is>
          <x:t xml:space="preserve">Metodologia; introdução; conclusão</x:t>
        </x:is>
      </x:c>
      <x:c r="M24" s="11" t="inlineStr">
        <x:is>
          <x:t xml:space="preserve">É central para justificar a estrutura metodológica da dissertação quando o pipeline de dados é tratado como artefato de pesquisa.</x:t>
        </x:is>
      </x:c>
      <x:c r="N24" s="11" t="inlineStr">
        <x:is>
          <x:t xml:space="preserve">Propõe a metodologia DSRM com seis atividades: identificação do problema, definição dos objetivos da solução, design e desenvolvimento, demonstração, avaliação e comunicação.</x:t>
        </x:is>
      </x:c>
      <x:c r="O24" s="11" t="inlineStr">
        <x:is>
          <x:t xml:space="preserve">Pode sustentar a organização da pesquisa: problema prático, objetivo do artefato, construção dos notebooks/camadas, demonstração por EDA/modelos e comunicação dos resultados.</x:t>
        </x:is>
      </x:c>
      <x:c r="P24" s="11" t="inlineStr">
        <x:is>
          <x:t xml:space="preserve">A DSR permite estruturar a construção de artefatos informacionais como um processo de pesquisa, articulando problema, objetivos, desenvolvimento, demonstração, avaliação e comunicação.</x:t>
        </x:is>
      </x:c>
      <x:c r="Q24" s="11" t="inlineStr">
        <x:is>
          <x:t xml:space="preserve">Embora seja anterior a 2020, é referência clássica/fundacional de DSR e deve ser mantida.</x:t>
        </x:is>
      </x:c>
      <x:c r="R24" s="11" t="inlineStr">
        <x:is>
          <x:t xml:space="preserve">Aproveitar fortemente</x:t>
        </x:is>
      </x:c>
    </x:row>
    <x:row r="25" s="12" customFormat="1" ht="22.5" customHeight="1">
      <x:c r="A25" s="7" t="inlineStr">
        <x:is>
          <x:t xml:space="preserve">A043</x:t>
        </x:is>
      </x:c>
      <x:c r="B25" s="4" t="inlineStr">
        <x:is>
          <x:t xml:space="preserve">https://drive.google.com/file/d/1ZLwP7uOPLPO5Az6aP-GNuP6LAYZVEbG3/view?usp=drive_link</x:t>
        </x:is>
      </x:c>
      <x:c r="C25" s="11" t="inlineStr">
        <x:is>
          <x:t xml:space="preserve">Análise comparativa do desempenho de modelos para previsão de clientes de cafeteria usando dados não estruturados</x:t>
        </x:is>
      </x:c>
      <x:c r="D25" s="11" t="inlineStr">
        <x:is>
          <x:t xml:space="preserve">Comparative analysis of model performance for predicting the customer of cafeteria using unstructured data</x:t>
        </x:is>
      </x:c>
      <x:c r="E25" s="11" t="n">
        <x:v>2023</x:v>
      </x:c>
      <x:c r="F25" s="11" t="inlineStr">
        <x:is>
          <x:t xml:space="preserve">Seungsik Kim; Nami Gu; Jeongin Moon; Keunwook Kim; Yeongeun Hwang; Kyeongjun Lee</x:t>
        </x:is>
      </x:c>
      <x:c r="G25" s="11" t="inlineStr">
        <x:is>
          <x:t xml:space="preserve">Artigo</x:t>
        </x:is>
      </x:c>
      <x:c r="H25" s="11" t="inlineStr">
        <x:is>
          <x:t xml:space="preserve">Communications for Statistical Applications and Methods</x:t>
        </x:is>
      </x:c>
      <x:c r="I25" s="11" t="inlineStr">
        <x:is>
          <x:t xml:space="preserve">10.29220/CSAM.2023.30.5.485</x:t>
        </x:is>
      </x:c>
      <x:c r="J25" s="11" t="n">
        <x:v>5</x:v>
      </x:c>
      <x:c r="K25" s="11" t="inlineStr">
        <x:is>
          <x:t xml:space="preserve">Técnica; comparação; método; limitação</x:t>
        </x:is>
      </x:c>
      <x:c r="L25" s="11" t="inlineStr">
        <x:is>
          <x:t xml:space="preserve">Referencial teórico; metodologia; discussão; trabalhos futuros</x:t>
        </x:is>
      </x:c>
      <x:c r="M25" s="11" t="inlineStr">
        <x:is>
          <x:t xml:space="preserve">É central para justificar o uso do cardápio como texto e a engenharia de atributos semânticos. Dialoga diretamente com o uso de BERT/PCA no projeto, mesmo usando Word2Vec e clustering.</x:t>
        </x:is>
      </x:c>
      <x:c r="N25" s="11" t="inlineStr">
        <x:is>
          <x:t xml:space="preserve">Usa dados reais de cafeteria de 2016 a 2021; 1.448 dias; inclui cardápio, ingredientes, receitas, clima, dia da semana, mês e histórico; cria atributos de menu com Word2Vec e clustering; compara Random Forest, Gradient Boosting, CatBoost e ensemble stacking; ensemble melhora cerca de 8% em relação aos modelos individuais; variáveis de data aparecem como mais importantes, seguidas por características do cardápio.</x:t>
        </x:is>
      </x:c>
      <x:c r="O25" s="11" t="inlineStr">
        <x:is>
          <x:t xml:space="preserve">Pode sustentar: cardápio como dado não estruturado; uso de embeddings para remover subjetividade na classificação; comparação de modelos de árvore e ensemble; relevância de data, clima, histórico e menu; cautela com novos pratos não vistos.</x:t>
        </x:is>
      </x:c>
      <x:c r="P25" s="11" t="inlineStr">
        <x:is>
          <x:t xml:space="preserve">Descrições de cardápio podem ser transformadas em variáveis numéricas por técnicas de representação textual, permitindo testar se informações alimentares agregam desempenho à previsão de demanda.</x:t>
        </x:is>
      </x:c>
      <x:c r="Q25" s="11" t="inlineStr">
        <x:is>
          <x:t xml:space="preserve">O artigo usa Word2Vec, não BERT; o contexto é cafeteria coreana, com ingredientes e receitas estruturados. A validação usa divisão treino/teste e cross-validation, mas é preciso verificar se houve separação temporal rigorosa.</x:t>
        </x:is>
      </x:c>
      <x:c r="R25" s="11" t="inlineStr">
        <x:is>
          <x:t xml:space="preserve">Aproveitar fortemente</x:t>
        </x:is>
      </x:c>
    </x:row>
    <x:row r="26" s="12" customFormat="1" ht="22.5" customHeight="1">
      <x:c r="A26" s="7" t="inlineStr">
        <x:is>
          <x:t xml:space="preserve">A026</x:t>
        </x:is>
      </x:c>
      <x:c r="B26" s="4" t="inlineStr">
        <x:is>
          <x:t xml:space="preserve">https://drive.google.com/file/d/1VGMyPqKCXAYx9NwD7QIs0KDr2Esnpzf-/view?usp=sharing</x:t>
        </x:is>
      </x:c>
      <x:c r="C26" s="11" t="inlineStr">
        <x:is>
          <x:t xml:space="preserve">Identificação e modelagem de fatores de risco para geração de desperdício alimentar em unidades de alimentação escolar e pré-escolar</x:t>
        </x:is>
      </x:c>
      <x:c r="D26" s="11" t="inlineStr">
        <x:is>
          <x:t xml:space="preserve">Identification and modelling of risk factors for food waste generation in school and pre-school catering units</x:t>
        </x:is>
      </x:c>
      <x:c r="E26" s="11" t="n">
        <x:v>2018</x:v>
      </x:c>
      <x:c r="F26" s="11" t="inlineStr">
        <x:is>
          <x:t xml:space="preserve">Hjördis Steen; Christopher Malefors; Elin Röös; Mattias Eriksson</x:t>
        </x:is>
      </x:c>
      <x:c r="G26" s="11" t="inlineStr">
        <x:is>
          <x:t xml:space="preserve">Artigo empírico</x:t>
        </x:is>
      </x:c>
      <x:c r="H26" s="11" t="inlineStr">
        <x:is>
          <x:t xml:space="preserve">Waste Management, 77, 172-184</x:t>
        </x:is>
      </x:c>
      <x:c r="I26" s="10" t="inlineStr">
        <x:is>
          <x:t xml:space="preserve">https://doi.org/10.1016/j.wasman.2018.05.024</x:t>
        </x:is>
      </x:c>
      <x:c r="J26" s="11" t="n">
        <x:v>5</x:v>
      </x:c>
      <x:c r="K26" s="11" t="inlineStr">
        <x:is>
          <x:t xml:space="preserve">Problema; contexto; método; comparação</x:t>
        </x:is>
      </x:c>
      <x:c r="L26" s="11" t="inlineStr">
        <x:is>
          <x:t xml:space="preserve">Introdução; referencial teórico; metodologia; discussão</x:t>
        </x:is>
      </x:c>
      <x:c r="M26" s="11" t="inlineStr">
        <x:is>
          <x:t xml:space="preserve">É muito conectado ao projeto porque analisa desperdício em escolas e pré-escolas, separa desperdício no prato e sobra de serviço, modela fatores de risco e mostra a importância de estimar corretamente número diário de comensais e ingestão esperada.</x:t>
        </x:is>
      </x:c>
      <x:c r="N26" s="11" t="inlineStr">
        <x:is>
          <x:t xml:space="preserve">Dados de 177 cozinhas suecas; modelos de regressão linear múltipla explicaram mais de 85% da variação de desperdício por porção. Fatores importantes: idade dos alunos, tamanho da porção, capacidade do refeitório, tipo de cozinha e superprodução.</x:t>
        </x:is>
      </x:c>
      <x:c r="O26" s="11" t="inlineStr">
        <x:is>
          <x:t xml:space="preserve">Pode sustentar a decisão de usar reservas, calendário, cardápio e histórico de consumo para reduzir erro na produção diária. Também ajuda a justificar por que sobras e consumo real devem ser tratados separadamente.</x:t>
        </x:is>
      </x:c>
      <x:c r="P26" s="11" t="inlineStr">
        <x:is>
          <x:t xml:space="preserve">O desperdício em restaurantes escolares não decorre apenas da preferência alimentar, mas também de fatores operacionais como superprodução, tipo de cozinha, tamanho das porções e ambiente de refeição.</x:t>
        </x:is>
      </x:c>
      <x:c r="Q26" s="11" t="inlineStr">
        <x:is>
          <x:t xml:space="preserve">É anterior a 2020, então entra como referência forte, mas não “recente”. Ainda assim, é central por ser diretamente ligado a escolas e por envolver Malefors/Eriksson.</x:t>
        </x:is>
      </x:c>
      <x:c r="R26" s="11" t="inlineStr">
        <x:is>
          <x:t xml:space="preserve">Aproveitar fortemente</x:t>
        </x:is>
      </x:c>
    </x:row>
    <x:row r="27" s="12" customFormat="1" ht="22.5" customHeight="1">
      <x:c r="A27" s="7" t="inlineStr">
        <x:is>
          <x:t xml:space="preserve">A035</x:t>
        </x:is>
      </x:c>
      <x:c r="B27" s="4" t="inlineStr">
        <x:is>
          <x:t xml:space="preserve">https://drive.google.com/file/d/1KdI5tZX-_miUUSM7srvbneWtSfl0VpNt/view?usp=sharing</x:t>
        </x:is>
      </x:c>
      <x:c r="C27" s="11" t="inlineStr">
        <x:is>
          <x:t xml:space="preserve">Dados de presença de comensais de 34 pré-escolas e escolas primárias suecas</x:t>
        </x:is>
      </x:c>
      <x:c r="D27" s="11" t="inlineStr">
        <x:is>
          <x:t xml:space="preserve">Guest attendance data from 34 Swedish pre-schools and primary schools</x:t>
        </x:is>
      </x:c>
      <x:c r="E27" s="11" t="n">
        <x:v>2021</x:v>
      </x:c>
      <x:c r="F27" s="11" t="inlineStr">
        <x:is>
          <x:t xml:space="preserve">Mattias Eriksson; Christopher Malefors; Luca Secondi; Stefano Marchetti</x:t>
        </x:is>
      </x:c>
      <x:c r="G27" s="11" t="inlineStr">
        <x:is>
          <x:t xml:space="preserve">Artigo de dados</x:t>
        </x:is>
      </x:c>
      <x:c r="H27" s="11" t="inlineStr">
        <x:is>
          <x:t xml:space="preserve">Data in Brief, 36, 107138</x:t>
        </x:is>
      </x:c>
      <x:c r="I27" s="10" t="inlineStr">
        <x:is>
          <x:t xml:space="preserve">https://doi.org/10.1016/j.dib.2021.107138</x:t>
        </x:is>
      </x:c>
      <x:c r="J27" s="11" t="n">
        <x:v>4</x:v>
      </x:c>
      <x:c r="K27" s="11" t="inlineStr">
        <x:is>
          <x:t xml:space="preserve">Método; dados; comparação; trabalhos futuros</x:t>
        </x:is>
      </x:c>
      <x:c r="L27" s="11" t="inlineStr">
        <x:is>
          <x:t xml:space="preserve">Metodologia; discussão; trabalhos futuros</x:t>
        </x:is>
      </x:c>
      <x:c r="M27" s="11" t="inlineStr">
        <x:is>
          <x:t xml:space="preserve">É muito útil como referência de dados reais de presença em alimentação escolar. Complementa o artigo de Malefors et al. sobre previsão durante a pandemia e ajuda a justificar a importância de bases longitudinais de frequência/consumo para planejamento de refeições.</x:t>
        </x:is>
      </x:c>
      <x:c r="N27" s="11" t="inlineStr">
        <x:is>
          <x:t xml:space="preserve">O artigo descreve 34 bases de presença em escolas e pré-escolas suecas, com registros de pratos usados como proxy de presença entre 2010 e 2020. Destaca a escassez de dados reais de negócios para pesquisa em alimentação pública, previsão, mineração de dados e gestão operacional.</x:t>
        </x:is>
      </x:c>
      <x:c r="O27" s="11" t="inlineStr">
        <x:is>
          <x:t xml:space="preserve">Pode sustentar a decisão de preservar registros de reservas e consumo, criar camada Bronze rastreável e formar uma base diária para previsão.</x:t>
        </x:is>
      </x:c>
      <x:c r="P27" s="11" t="inlineStr">
        <x:is>
          <x:t xml:space="preserve">Bases históricas de presença em serviços de alimentação escolar são valiosas porque permitem estudar sazonalidade, padrões de ausência, previsão de demanda e estratégias para evitar superprodução.</x:t>
        </x:is>
      </x:c>
      <x:c r="Q27" s="11" t="inlineStr">
        <x:is>
          <x:t xml:space="preserve">É um artigo de dados, não testa modelos diretamente. O contexto sueco tem alimentação escolar gratuita e sem ponto de venda, parecido em parte com o problema de ausência de dados comerciais, mas diferente do IFSP.</x:t>
        </x:is>
      </x:c>
      <x:c r="R27" s="11" t="inlineStr">
        <x:is>
          <x:t xml:space="preserve">Aproveitar fortemente</x:t>
        </x:is>
      </x:c>
    </x:row>
    <x:row r="28" s="12" customFormat="1" ht="22.5" customHeight="1">
      <x:c r="A28" s="7" t="inlineStr">
        <x:is>
          <x:t xml:space="preserve">A028</x:t>
        </x:is>
      </x:c>
      <x:c r="B28" s="4" t="inlineStr">
        <x:is>
          <x:t xml:space="preserve">https://drive.google.com/file/d/15j6IkDcnyFa-1k5fPjx9JIin874SeqQY/view?usp=drive_link</x:t>
        </x:is>
      </x:c>
      <x:c r="C28" s="11" t="inlineStr">
        <x:is>
          <x:t xml:space="preserve">Intervenção exploratória em mídias sociais sobre percepção e comportamento ao comer fora de casa: ensaio randomizado por conglomerados em Chongqing, China</x:t>
        </x:is>
      </x:c>
      <x:c r="D28" s="11" t="inlineStr">
        <x:is>
          <x:t xml:space="preserve">An exploratory social media intervention for perception and behavior on eating away from home: A cluster randomized trial in Chongqing, China</x:t>
        </x:is>
      </x:c>
      <x:c r="E28" s="11" t="n">
        <x:v>2022</x:v>
      </x:c>
      <x:c r="F28" s="11" t="inlineStr">
        <x:is>
          <x:t xml:space="preserve">Tingting Wu; Ping Hu; Mao Zou; Fan Zhang; Huan Zeng; Manoj Sharma; Yong Zhao; Zumin Shi</x:t>
        </x:is>
      </x:c>
      <x:c r="G28" s="11" t="inlineStr">
        <x:is>
          <x:t xml:space="preserve">Artigo empírico</x:t>
        </x:is>
      </x:c>
      <x:c r="H28" s="11" t="inlineStr">
        <x:is>
          <x:t xml:space="preserve">Journal of Cleaner Production, 347, 131206</x:t>
        </x:is>
      </x:c>
      <x:c r="I28" s="10" t="inlineStr">
        <x:is>
          <x:t xml:space="preserve">https://doi.org/10.1016/j.jclepro.2022.131206</x:t>
        </x:is>
      </x:c>
      <x:c r="J28" s="11" t="n">
        <x:v>3</x:v>
      </x:c>
      <x:c r="K28" s="11" t="inlineStr">
        <x:is>
          <x:t xml:space="preserve">Contexto; problema; trabalhos futuros</x:t>
        </x:is>
      </x:c>
      <x:c r="L28" s="11" t="inlineStr">
        <x:is>
          <x:t xml:space="preserve">Introdução; referencial teórico; discussão</x:t>
        </x:is>
      </x:c>
      <x:c r="M28" s="11" t="inlineStr">
        <x:is>
          <x:t xml:space="preserve">Tem relação parcial. O foco é intervenção educacional via redes sociais sobre alimentação fora de casa entre universitários, com menção à redução de desperdício e comportamento alimentar. Ajuda mais na discussão comportamental do que na modelagem.</x:t>
        </x:is>
      </x:c>
      <x:c r="N28" s="11" t="inlineStr">
        <x:is>
          <x:t xml:space="preserve">O estudo mostra que intervenções digitais podem alterar conhecimento, atitude e alguns comportamentos relacionados à alimentação fora de casa/escola. Sugere que plataformas digitais podem apoiar educação alimentar e redução de desperdício.</x:t>
        </x:is>
      </x:c>
      <x:c r="O28" s="11" t="inlineStr">
        <x:is>
          <x:t xml:space="preserve">Pode ser usado para reforçar que previsão de demanda não resolve sozinha o desperdício: comportamento, educação alimentar e comunicação também importam.</x:t>
        </x:is>
      </x:c>
      <x:c r="P28" s="11" t="inlineStr">
        <x:is>
          <x:t xml:space="preserve">A redução do desperdício alimentar em ambientes educacionais pode exigir combinação de previsão, gestão operacional e estratégias de mudança de comportamento.</x:t>
        </x:is>
      </x:c>
      <x:c r="Q28" s="11" t="inlineStr">
        <x:is>
          <x:t xml:space="preserve">Não trata previsão de demanda, reservas, cardápio ou modelos de produção. Uso deve ser secundário, para contexto e discussão comportamental.</x:t>
        </x:is>
      </x:c>
      <x:c r="R28" s="11" t="inlineStr">
        <x:is>
          <x:t xml:space="preserve">Aproveitar parcialmente</x:t>
        </x:is>
      </x:c>
    </x:row>
    <x:row r="29" s="12" customFormat="1" ht="22.5" customHeight="1">
      <x:c r="A29" s="7" t="inlineStr">
        <x:is>
          <x:t xml:space="preserve">A029</x:t>
        </x:is>
      </x:c>
      <x:c r="B29" s="4" t="inlineStr">
        <x:is>
          <x:t xml:space="preserve">https://drive.google.com/file/d/1vybFj-dz6HlGwNw19-esw3pmGUrxW38j/view?usp=drive_link</x:t>
        </x:is>
      </x:c>
      <x:c r="C29" s="11" t="inlineStr">
        <x:is>
          <x:t xml:space="preserve">Do prato ao paladar: soluções sustentáveis para reaproveitamento de desperdício alimentar em restaurantes e alimentação coletiva</x:t>
        </x:is>
      </x:c>
      <x:c r="D29" s="11" t="inlineStr">
        <x:is>
          <x:t xml:space="preserve">From plate to palate: Sustainable solutions for upcycling food waste in restaurants and catering</x:t>
        </x:is>
      </x:c>
      <x:c r="E29" s="11" t="n">
        <x:v>2024</x:v>
      </x:c>
      <x:c r="F29" s="11" t="inlineStr">
        <x:is>
          <x:t xml:space="preserve">Nida Kanwal; Min Zhang; Mustafa Zeb; Uzma Batool; Imad Khan; Luming Rui</x:t>
        </x:is>
      </x:c>
      <x:c r="G29" s="11" t="inlineStr">
        <x:is>
          <x:t xml:space="preserve">Revisão</x:t>
        </x:is>
      </x:c>
      <x:c r="H29" s="11" t="inlineStr">
        <x:is>
          <x:t xml:space="preserve">Trends in Food Science &amp; Technology, 152, 104687</x:t>
        </x:is>
      </x:c>
      <x:c r="I29" s="10" t="inlineStr">
        <x:is>
          <x:t xml:space="preserve">https://doi.org/10.1016/j.tifs.2024.104687</x:t>
        </x:is>
      </x:c>
      <x:c r="J29" s="11" t="n">
        <x:v>3</x:v>
      </x:c>
      <x:c r="K29" s="11" t="inlineStr">
        <x:is>
          <x:t xml:space="preserve">Contexto; problema; trabalhos futuros</x:t>
        </x:is>
      </x:c>
      <x:c r="L29" s="11" t="inlineStr">
        <x:is>
          <x:t xml:space="preserve">Referencial teórico; discussão; trabalhos futuros</x:t>
        </x:is>
      </x:c>
      <x:c r="M29" s="11" t="inlineStr">
        <x:is>
          <x:t xml:space="preserve">Conecta-se ao projeto pela perspectiva de sustentabilidade e gestão de desperdício em restaurantes e serviços de alimentação. É mais amplo e voltado a upcycling/valorização de resíduos, mas cita previsão de demanda e personalização de cardápio como caminhos para reduzir desperdício.</x:t>
        </x:is>
      </x:c>
      <x:c r="N29" s="11" t="inlineStr">
        <x:is>
          <x:t xml:space="preserve">A revisão aponta que desperdício ocorre em preparação, serviço e sobras dos consumidores. Menciona descarte de cerca de 17,5% da comida preparada e discute tecnologias, economia circular, upcycling e machine learning para previsão de demanda.</x:t>
        </x:is>
      </x:c>
      <x:c r="O29" s="11" t="inlineStr">
        <x:is>
          <x:t xml:space="preserve">Pode apoiar a discussão de que prevenir desperdício é preferível a apenas tratar resíduos, e que modelos preditivos entram como estratégia de prevenção antes da sobra acontecer.</x:t>
        </x:is>
      </x:c>
      <x:c r="P29" s="11" t="inlineStr">
        <x:is>
          <x:t xml:space="preserve">A gestão sustentável do desperdício alimentar deve priorizar prevenção e planejamento, mas também pode incorporar estratégias de valorização de resíduos quando a sobra não puder ser evitada.</x:t>
        </x:is>
      </x:c>
      <x:c r="Q29" s="11" t="inlineStr">
        <x:is>
          <x:t xml:space="preserve">Não é específico de escola nem de previsão diária. Não usar como base metodológica principal; é melhor para sustentabilidade, discussão e trabalhos futuros.</x:t>
        </x:is>
      </x:c>
      <x:c r="R29" s="11" t="inlineStr">
        <x:is>
          <x:t xml:space="preserve">Aproveitar parcialmente</x:t>
        </x:is>
      </x:c>
    </x:row>
    <x:row r="30" s="12" customFormat="1" ht="22.5" customHeight="1">
      <x:c r="A30" s="7" t="inlineStr">
        <x:is>
          <x:t xml:space="preserve">A030</x:t>
        </x:is>
      </x:c>
      <x:c r="B30" s="4" t="inlineStr">
        <x:is>
          <x:t xml:space="preserve">https://drive.google.com/file/d/1pCFSdaPjZ95mgnQva7uClc_QhyE0bhHf/view?usp=drive_link</x:t>
        </x:is>
      </x:c>
      <x:c r="C30" s="11" t="inlineStr">
        <x:is>
          <x:t xml:space="preserve">Revolucionando a segurança alimentar na indústria aérea: soluções inteligentes baseadas em IA</x:t>
        </x:is>
      </x:c>
      <x:c r="D30" s="11" t="inlineStr">
        <x:is>
          <x:t xml:space="preserve">Revolutionizing food safety in the airline industry: AI-powered smart solutions</x:t>
        </x:is>
      </x:c>
      <x:c r="E30" s="11" t="n">
        <x:v>2025</x:v>
      </x:c>
      <x:c r="F30" s="11" t="inlineStr">
        <x:is>
          <x:t xml:space="preserve">Nida Kanwal; Min Zhang; Mustafa Zeb; Mudassar Hussain; Dayuan Wang</x:t>
        </x:is>
      </x:c>
      <x:c r="G30" s="11" t="inlineStr">
        <x:is>
          <x:t xml:space="preserve">Revisão</x:t>
        </x:is>
      </x:c>
      <x:c r="H30" s="11" t="inlineStr">
        <x:is>
          <x:t xml:space="preserve">Trends in Food Science &amp; Technology, 159, 104970</x:t>
        </x:is>
      </x:c>
      <x:c r="I30" s="10" t="inlineStr">
        <x:is>
          <x:t xml:space="preserve">https://doi.org/10.1016/j.tifs.2025.104970</x:t>
        </x:is>
      </x:c>
      <x:c r="J30" s="11" t="n">
        <x:v>2</x:v>
      </x:c>
      <x:c r="K30" s="11" t="inlineStr">
        <x:is>
          <x:t xml:space="preserve">Contexto; técnica; trabalhos futuros</x:t>
        </x:is>
      </x:c>
      <x:c r="L30" s="11" t="inlineStr">
        <x:is>
          <x:t xml:space="preserve">Trabalhos futuros; apoio pontual</x:t>
        </x:is>
      </x:c>
      <x:c r="M30" s="11" t="inlineStr">
        <x:is>
          <x:t xml:space="preserve">Relação periférica. O artigo trata IA na segurança alimentar da aviação, incluindo IoT, blockchain, rastreabilidade, monitoramento em tempo real, previsão e redução de desperdício. Pode inspirar visão futura de sistemas inteligentes, mas não fundamenta diretamente o modelo do restaurante escolar.</x:t>
        </x:is>
      </x:c>
      <x:c r="N30" s="11" t="inlineStr">
        <x:is>
          <x:t xml:space="preserve">Destaca IA, sensores, rastreabilidade, previsão, monitoramento de temperatura e gestão da cadeia de suprimentos. Menciona potencial de redução de desperdício por previsão de demanda e controle de perdas logísticas.</x:t>
        </x:is>
      </x:c>
      <x:c r="O30" s="11" t="inlineStr">
        <x:is>
          <x:t xml:space="preserve">Pode ser usado apenas em trabalhos futuros, caso a dissertação discuta expansão para sensores, rastreabilidade, monitoramento operacional ou sistemas inteligentes integrados.</x:t>
        </x:is>
      </x:c>
      <x:c r="P30" s="11" t="inlineStr">
        <x:is>
          <x:t xml:space="preserve">Soluções de IA em serviços alimentares podem avançar além da previsão de demanda, incorporando rastreabilidade, monitoramento em tempo real e controle preventivo de riscos operacionais.</x:t>
        </x:is>
      </x:c>
      <x:c r="Q30" s="11" t="inlineStr">
        <x:is>
          <x:t xml:space="preserve">Contexto muito diferente: aviação e segurança alimentar, não restaurante escolar. Evitar como referência central.</x:t>
        </x:is>
      </x:c>
      <x:c r="R30" s="11" t="inlineStr">
        <x:is>
          <x:t xml:space="preserve">Apoio pontual</x:t>
        </x:is>
      </x:c>
    </x:row>
    <x:row r="31" s="12" customFormat="1" ht="22.5" customHeight="1">
      <x:c r="A31" s="11" t="inlineStr">
        <x:is>
          <x:t xml:space="preserve">A002</x:t>
        </x:is>
      </x:c>
      <x:c r="B31" s="4" t="inlineStr">
        <x:is>
          <x:t xml:space="preserve">https://drive.google.com/file/d/1qSYcKlV5QbgXK0tQuZ2w1__ev4NJgdCW/view?usp=drive_link</x:t>
        </x:is>
      </x:c>
      <x:c r="C31" s="11" t="inlineStr">
        <x:is>
          <x:t xml:space="preserve">Análise exploratória de dados para previsão da demanda de refeições e redução do desperdício alimentar em instituição de ensino</x:t>
        </x:is>
      </x:c>
      <x:c r="D31" s="11" t="inlineStr">
        <x:is>
          <x:t xml:space="preserve">Exploratory Data Analysis for Meal Demand Forecasting and Food Waste Reduction in an Educational Institution</x:t>
        </x:is>
      </x:c>
      <x:c r="E31" s="11" t="n">
        <x:v>2025</x:v>
      </x:c>
      <x:c r="F31" s="11" t="inlineStr">
        <x:is>
          <x:t xml:space="preserve">Michel Silva de Souza; Carlos Hideo Arima; Rafael Nobre Orsi; Patrícia Aparecida de Souza</x:t>
        </x:is>
      </x:c>
      <x:c r="G31" s="11" t="inlineStr">
        <x:is>
          <x:t xml:space="preserve">Relato técnico</x:t>
        </x:is>
      </x:c>
      <x:c r="H31" s="11" t="inlineStr">
        <x:is>
          <x:t xml:space="preserve">SIMPROF 2025</x:t>
        </x:is>
      </x:c>
      <x:c r="I31" s="11" t="n"/>
      <x:c r="J31" s="11" t="n">
        <x:v>5</x:v>
      </x:c>
      <x:c r="K31" s="11" t="inlineStr">
        <x:is>
          <x:t xml:space="preserve">EDA; preparação dos dados; justificativa da base Gold</x:t>
        </x:is>
      </x:c>
      <x:c r="L31" s="11" t="inlineStr">
        <x:is>
          <x:t xml:space="preserve">Metodologia; EDA; engenharia de atributos; discussão dos dados</x:t>
        </x:is>
      </x:c>
      <x:c r="M31" s="11" t="inlineStr">
        <x:is>
          <x:t xml:space="preserve">É o texto mais alinhado ao artigo da revista e à dissertação atual. Sustenta a importância da EDA, da granularidade diária e da integração de consumo, reservas, cardápio, clima e calendário.</x:t>
        </x:is>
      </x:c>
      <x:c r="N31" s="11" t="inlineStr">
        <x:is>
          <x:t xml:space="preserve">EDA como etapa crítica; integração de múltiplas fontes; reservas como preditor primário; sazonalidade semanal; diferença entre dias letivos e não letivos; necessidade de Random Forest, XGBoost e modelos não lineares.</x:t>
        </x:is>
      </x:c>
      <x:c r="O31" s="11" t="inlineStr">
        <x:is>
          <x:t xml:space="preserve">A EDA revelou tendências sazonais e semanais, forte relação entre reservas e refeições servidas, demanda bimodal e necessidade de modelos capazes de capturar relações não lineares.</x:t>
        </x:is>
      </x:c>
      <x:c r="P31" s="11" t="inlineStr">
        <x:is>
          <x:t xml:space="preserve">Em continuidade ao estudo preliminar, Souza et al. (2025) demonstraram que a análise exploratória dos dados é uma etapa estruturante para a previsão de demanda, pois permite identificar sazonalidade semanal, influência das reservas, padrões de dias letivos e necessidade de enriquecimento da base com cardápio, clima e calendário.</x:t>
        </x:is>
      </x:c>
      <x:c r="Q31" s="11" t="inlineStr">
        <x:is>
          <x:t xml:space="preserve">Conferir números com a versão atual dos notebooks antes de reutilizar métricas ou resultados específicos.</x:t>
        </x:is>
      </x:c>
      <x:c r="R31" s="11" t="inlineStr">
        <x:is>
          <x:t xml:space="preserve">Aproveitar fortemente</x:t>
        </x:is>
      </x:c>
    </x:row>
    <x:row r="32" s="12" customFormat="1" ht="22.5" customHeight="1">
      <x:c r="A32" s="7" t="inlineStr">
        <x:is>
          <x:t xml:space="preserve">A027</x:t>
        </x:is>
      </x:c>
      <x:c r="B32" s="4" t="inlineStr">
        <x:is>
          <x:t xml:space="preserve">https://drive.google.com/file/d/183a73hPBTP9Y-IdKkTYKt89Z4D76I-KP/view?usp=drive_link</x:t>
        </x:is>
      </x:c>
      <x:c r="C32" s="11" t="inlineStr">
        <x:is>
          <x:t xml:space="preserve">Redução do desperdício alimentar e economia em tempos de crise: potencial de métodos de aprendizado de máquina para planejar presença em alimentação pública sueca durante a pandemia de Covid-19</x:t>
        </x:is>
      </x:c>
      <x:c r="D32" s="11" t="inlineStr">
        <x:is>
          <x:t xml:space="preserve">Food waste reduction and economic savings in times of crisis: The potential of machine learning methods to plan guest attendance in Swedish public catering during the Covid-19 pandemic</x:t>
        </x:is>
      </x:c>
      <x:c r="E32" s="11" t="n">
        <x:v>2022</x:v>
      </x:c>
      <x:c r="F32" s="11" t="inlineStr">
        <x:is>
          <x:t xml:space="preserve">Christopher Malefors; Luca Secondi; Stefano Marchetti; Mattias Eriksson</x:t>
        </x:is>
      </x:c>
      <x:c r="G32" s="11" t="inlineStr">
        <x:is>
          <x:t xml:space="preserve">Artigo empírico</x:t>
        </x:is>
      </x:c>
      <x:c r="H32" s="11" t="inlineStr">
        <x:is>
          <x:t xml:space="preserve">Socio-Economic Planning Sciences, 82, 101041</x:t>
        </x:is>
      </x:c>
      <x:c r="I32" s="10" t="inlineStr">
        <x:is>
          <x:t xml:space="preserve">https://doi.org/10.1016/j.seps.2021.101041</x:t>
        </x:is>
      </x:c>
      <x:c r="J32" s="11" t="n">
        <x:v>5</x:v>
      </x:c>
      <x:c r="K32" s="11" t="inlineStr">
        <x:is>
          <x:t xml:space="preserve">Problema; método; técnica; comparação; limitação</x:t>
        </x:is>
      </x:c>
      <x:c r="L32" s="11" t="inlineStr">
        <x:is>
          <x:t xml:space="preserve">Introdução; referencial teórico; metodologia; discussão; trabalhos futuros</x:t>
        </x:is>
      </x:c>
      <x:c r="M32" s="11" t="inlineStr">
        <x:is>
          <x:t xml:space="preserve">É um dos artigos mais importantes para a dissertação. Trata previsão de presença em refeições escolares/pré-escolares, uso de aprendizado de máquina, redução de desperdício, economia e operação em cenário de incerteza.</x:t>
        </x:is>
      </x:c>
      <x:c r="N32" s="11" t="inlineStr">
        <x:is>
          <x:t xml:space="preserve">Compara métodos e encontra melhor desempenho para Random Forest em relação a uma rede neural simples. Mostra que, em fase inicial de crise, a demanda é difícil de prever, mas após estabilização curta os modelos passam a prever melhor. Destaca relevância de dia da semana/fim de semana e uso contínuo do modelo.</x:t>
        </x:is>
      </x:c>
      <x:c r="O32" s="11" t="inlineStr">
        <x:is>
          <x:t xml:space="preserve">Pode sustentar a escolha de modelos baseados em árvores, validação temporal, atualização contínua, cautela em períodos atípicos e necessidade de distinguir crise inicial de regime operacional estável.</x:t>
        </x:is>
      </x:c>
      <x:c r="P32" s="11" t="inlineStr">
        <x:is>
          <x:t xml:space="preserve">Em ambientes de alimentação pública, modelos de previsão podem apoiar o planejamento de refeições e reduzir desperdícios, mas sua confiabilidade depende do regime operacional e da atualização com dados recentes.</x:t>
        </x:is>
      </x:c>
      <x:c r="Q32" s="11" t="inlineStr">
        <x:is>
          <x:t xml:space="preserve">O contexto é sueco e pandêmico. Não usar os erros ou economias como meta direta para o IFSP; usar como fundamento para previsão em alimentação coletiva e gestão de incerteza.</x:t>
        </x:is>
      </x:c>
      <x:c r="R32" s="11" t="inlineStr">
        <x:is>
          <x:t xml:space="preserve">Aproveitar fortemente</x:t>
        </x:is>
      </x:c>
    </x:row>
    <x:row r="33" s="12" customFormat="1" ht="22.5" customHeight="1">
      <x:c r="A33" s="7" t="inlineStr">
        <x:is>
          <x:t xml:space="preserve">A033</x:t>
        </x:is>
      </x:c>
      <x:c r="B33" s="4" t="inlineStr">
        <x:is>
          <x:t xml:space="preserve">https://drive.google.com/file/d/1BNrzZQmLak8doEfdHeUb-rBsiKBJSqt2/view?usp=drive_link</x:t>
        </x:is>
      </x:c>
      <x:c r="C33" s="11" t="inlineStr">
        <x:is>
          <x:t xml:space="preserve">Compreendendo o comportamento de desperdício alimentar em estudantes universitários: aplicação da teoria do comportamento planejado</x:t>
        </x:is>
      </x:c>
      <x:c r="D33" s="11" t="inlineStr">
        <x:is>
          <x:t xml:space="preserve">Understanding the food waste behaviour in university students: An application of the theory of planned behaviour</x:t>
        </x:is>
      </x:c>
      <x:c r="E33" s="11" t="n">
        <x:v>2024</x:v>
      </x:c>
      <x:c r="F33" s="11" t="inlineStr">
        <x:is>
          <x:t xml:space="preserve">Shahnaza Akhter; Mohmmad Irshad Rather; Ummer Rashid Zargar</x:t>
        </x:is>
      </x:c>
      <x:c r="G33" s="11" t="inlineStr">
        <x:is>
          <x:t xml:space="preserve">Artigo empírico</x:t>
        </x:is>
      </x:c>
      <x:c r="H33" s="11" t="inlineStr">
        <x:is>
          <x:t xml:space="preserve">Journal of Cleaner Production, 437, 140632</x:t>
        </x:is>
      </x:c>
      <x:c r="I33" s="10" t="inlineStr">
        <x:is>
          <x:t xml:space="preserve">https://doi.org/10.1016/j.jclepro.2024.140632</x:t>
        </x:is>
      </x:c>
      <x:c r="J33" s="11" t="n">
        <x:v>4</x:v>
      </x:c>
      <x:c r="K33" s="11" t="inlineStr">
        <x:is>
          <x:t xml:space="preserve">Contexto; problema; limitação; trabalhos futuros</x:t>
        </x:is>
      </x:c>
      <x:c r="L33" s="11" t="inlineStr">
        <x:is>
          <x:t xml:space="preserve">Introdução; referencial teórico; discussão; limitações</x:t>
        </x:is>
      </x:c>
      <x:c r="M33" s="11" t="inlineStr">
        <x:is>
          <x:t xml:space="preserve">Conecta-se por tratar desperdício alimentar no ambiente universitário e mostrar que o comportamento dos estudantes influencia o desperdício no consumo. Complementa os modelos de previsão, lembrando que demanda e sobra não são apenas fenômenos operacionais.</x:t>
        </x:is>
      </x:c>
      <x:c r="N33" s="11" t="inlineStr">
        <x:is>
          <x:t xml:space="preserve">O estudo usa teoria do comportamento planejado estendida com 345 estudantes. Atitude, controle comportamental, conhecimento sobre desperdício, normas morais, hábitos alimentares e rotina de reutilização de sobras influenciaram a intenção de não desperdiçar, explicando 68,6% da variância.</x:t>
        </x:is>
      </x:c>
      <x:c r="O33" s="11" t="inlineStr">
        <x:is>
          <x:t xml:space="preserve">Pode ajudar a discutir que a previsão de refeições deve ser combinada com estratégias de conscientização, comunicação e desenho do ambiente alimentar.</x:t>
        </x:is>
      </x:c>
      <x:c r="P33" s="11" t="inlineStr">
        <x:is>
          <x:t xml:space="preserve">Mesmo com modelos preditivos, o desperdício alimentar em ambientes educacionais permanece associado a fatores comportamentais, como conhecimento, hábitos, normas morais e controle percebido sobre o consumo.</x:t>
        </x:is>
      </x:c>
      <x:c r="Q33" s="11" t="inlineStr">
        <x:is>
          <x:t xml:space="preserve">O estudo mede intenção/comportamento autorrelatado, não previsão de demanda nem dados reais de consumo do refeitório. Usar como apoio comportamental, não como base para modelagem.</x:t>
        </x:is>
      </x:c>
      <x:c r="R33" s="11" t="inlineStr">
        <x:is>
          <x:t xml:space="preserve">Aproveitar parcialmente</x:t>
        </x:is>
      </x:c>
    </x:row>
    <x:row r="34" s="12" customFormat="1" ht="22.5" customHeight="1">
      <x:c r="A34" s="7" t="inlineStr">
        <x:is>
          <x:t xml:space="preserve">A034</x:t>
        </x:is>
      </x:c>
      <x:c r="B34" s="4" t="inlineStr">
        <x:is>
          <x:t xml:space="preserve">https://drive.google.com/file/d/1uqWoC4Zy_YTeKSf5YzjRbW983_Mxwd1h/view?usp=drive_link</x:t>
        </x:is>
      </x:c>
      <x:c r="C34" s="11" t="inlineStr">
        <x:is>
          <x:t xml:space="preserve">Fatores associados ao consumo de almoço escolar: recreio antes do almoço e “brunch” escolar</x:t>
        </x:is>
      </x:c>
      <x:c r="D34" s="11" t="inlineStr">
        <x:is>
          <x:t xml:space="preserve">Factors Associated with School Lunch Consumption: Reverse Recess and School “Brunch”</x:t>
        </x:is>
      </x:c>
      <x:c r="E34" s="11" t="n">
        <x:v>2017</x:v>
      </x:c>
      <x:c r="F34" s="11" t="inlineStr">
        <x:is>
          <x:t xml:space="preserve">Leah Elizabeth Chapman; Juliana Cohen; Melanie Canterberry; Thomas W. Carton</x:t>
        </x:is>
      </x:c>
      <x:c r="G34" s="11" t="inlineStr">
        <x:is>
          <x:t xml:space="preserve">Artigo empírico breve</x:t>
        </x:is>
      </x:c>
      <x:c r="H34" s="11" t="inlineStr">
        <x:is>
          <x:t xml:space="preserve">Journal of the Academy of Nutrition and Dietetics, 117(9), 1413-1418</x:t>
        </x:is>
      </x:c>
      <x:c r="I34" s="10" t="inlineStr">
        <x:is>
          <x:t xml:space="preserve">http://dx.doi.org/10.1016/j.jand.2017.04.016</x:t>
        </x:is>
      </x:c>
      <x:c r="J34" s="11" t="n">
        <x:v>3</x:v>
      </x:c>
      <x:c r="K34" s="11" t="inlineStr">
        <x:is>
          <x:t xml:space="preserve">Contexto; problema; limitação</x:t>
        </x:is>
      </x:c>
      <x:c r="L34" s="11" t="inlineStr">
        <x:is>
          <x:t xml:space="preserve">Referencial teórico; discussão; limitações</x:t>
        </x:is>
      </x:c>
      <x:c r="M34" s="11" t="inlineStr">
        <x:is>
          <x:t xml:space="preserve">Relaciona-se ao projeto por mostrar que organização da rotina escolar, horário do almoço e recreio afetam consumo e desperdício no prato. É útil para reforçar que variáveis de calendário e rotina institucional podem alterar demanda/consumo.</x:t>
        </x:is>
      </x:c>
      <x:c r="N34" s="11" t="inlineStr">
        <x:is>
          <x:t xml:space="preserve">O estudo analisou 20.183 bandejas em oito escolas. Recreio antes do almoço foi associado a maior consumo de frutas. Almoços muito cedo ou muito tarde foram associados a menor consumo de alguns itens, como entradas, leite e frutas.</x:t>
        </x:is>
      </x:c>
      <x:c r="O34" s="11" t="inlineStr">
        <x:is>
          <x:t xml:space="preserve">Pode apoiar a inclusão de variáveis de calendário/rotina e a discussão sobre eventos ou horários escolares não observados como fatores de erro do modelo.</x:t>
        </x:is>
      </x:c>
      <x:c r="P34" s="11" t="inlineStr">
        <x:is>
          <x:t xml:space="preserve">O consumo escolar pode variar por fatores de organização da rotina, como horário da refeição e posicionamento do recreio, indicando que padrões de demanda dependem de condições institucionais além do cardápio.</x:t>
        </x:is>
      </x:c>
      <x:c r="Q34" s="11" t="inlineStr">
        <x:is>
          <x:t xml:space="preserve">É de 2017, fora do recorte recente desejado, e o desenho é transversal, não causal. Usar como apoio pontual, especialmente se faltar literatura recente sobre rotina escolar e consumo.</x:t>
        </x:is>
      </x:c>
      <x:c r="R34" s="11" t="inlineStr">
        <x:is>
          <x:t xml:space="preserve">Apoio pontual</x:t>
        </x:is>
      </x:c>
    </x:row>
    <x:row r="35" s="12" customFormat="1" ht="22.5" customHeight="1">
      <x:c r="A35" s="11" t="inlineStr">
        <x:is>
          <x:t xml:space="preserve">A023</x:t>
        </x:is>
      </x:c>
      <x:c r="B35" s="4" t="inlineStr">
        <x:is>
          <x:t xml:space="preserve">https://drive.google.com/file/d/1Yb-YVXmsJ7yYzNSjXDWVfprmymuGjV9X/view?usp=drive_link</x:t>
        </x:is>
      </x:c>
      <x:c r="C35" s="11" t="inlineStr">
        <x:is>
          <x:t xml:space="preserve">Previsão de sobras no prato usando o método de Monte Carlo para tomada de decisão eficaz em escolas da Letônia</x:t>
        </x:is>
      </x:c>
      <x:c r="D35" s="11" t="inlineStr">
        <x:is>
          <x:t xml:space="preserve">Plate Waste Forecasting Using the Monte Carlo Method for Effective Decision Making in Latvian Schools</x:t>
        </x:is>
      </x:c>
      <x:c r="E35" s="11" t="n">
        <x:v>2022</x:v>
      </x:c>
      <x:c r="F35" s="11" t="inlineStr">
        <x:is>
          <x:t xml:space="preserve">Sergejs Kodors; Anda Zvaigzne; Lienite Litavniece; Jelena Lonska; Inese Silicka; Inta Kotane; Juta Deksne</x:t>
        </x:is>
      </x:c>
      <x:c r="G35" s="11" t="inlineStr">
        <x:is>
          <x:t xml:space="preserve">Artigo empírico/metodológico</x:t>
        </x:is>
      </x:c>
      <x:c r="H35" s="11" t="inlineStr">
        <x:is>
          <x:t xml:space="preserve">Nutrients, 14, 587</x:t>
        </x:is>
      </x:c>
      <x:c r="I35" s="4" t="inlineStr">
        <x:is>
          <x:t xml:space="preserve">https://doi.org/10.3390/nu14030587</x:t>
        </x:is>
      </x:c>
      <x:c r="J35" s="11" t="n">
        <x:v>5</x:v>
      </x:c>
      <x:c r="K35" s="11" t="inlineStr">
        <x:is>
          <x:t xml:space="preserve">Problema; método; técnica; comparação; trabalhos futuros</x:t>
        </x:is>
      </x:c>
      <x:c r="L35" s="11" t="inlineStr">
        <x:is>
          <x:t xml:space="preserve">Introdução; referencial teórico; metodologia; discussão; trabalhos futuros</x:t>
        </x:is>
      </x:c>
      <x:c r="M35" s="11" t="inlineStr">
        <x:is>
          <x:t xml:space="preserve">É um dos artigos mais próximos da dissertação: trata desperdício em escolas, previsão, simulação, apoio à decisão e gestão alimentar. Ajuda especialmente a discutir a margem de segurança e por que simulação probabilística pode ser útil, mas exige dados bem calibrados.</x:t>
        </x:is>
      </x:c>
      <x:c r="N35" s="11" t="inlineStr">
        <x:is>
          <x:t xml:space="preserve">O artigo desenvolveu um simulador de desperdício com Monte Carlo, com RMSE de aproximadamente ±3% e MAPE de 10,15%. Mostra que tempo de refeição, preferências dos alunos, alimentos rejeitados e monitoramento contínuo influenciam o desperdício. Também reforça a necessidade de atualização periódica dos dados.</x:t>
        </x:is>
      </x:c>
      <x:c r="O35" s="11" t="inlineStr">
        <x:is>
          <x:t xml:space="preserve">Pode ser usado para justificar abordagens probabilísticas e simulação como apoio à decisão, mas também para explicar por que uma margem baseada apenas em Monte Carlo pode falhar se as preferências e condições locais não forem monitoradas.</x:t>
        </x:is>
      </x:c>
      <x:c r="P35" s="11" t="inlineStr">
        <x:is>
          <x:t xml:space="preserve">A previsão de desperdício em escolas pode ser apoiada por simulação probabilística, desde que o modelo seja calibrado com dados locais, atualizado periodicamente e utilizado como ferramenta de apoio à decisão, não como regra fixa.</x:t>
        </x:is>
      </x:c>
      <x:c r="Q35" s="11" t="inlineStr">
        <x:is>
          <x:t xml:space="preserve">A amostra de questionários foi pequena e parte dos parâmetros veio de dados agregados. O próprio artigo indica necessidade de dados por escola/região para melhorar precisão. Isso é muito importante para não superestimar a aplicabilidade direta ao seu caso.</x:t>
        </x:is>
      </x:c>
      <x:c r="R35" s="11" t="inlineStr">
        <x:is>
          <x:t xml:space="preserve">Aproveitar fortemente</x:t>
        </x:is>
      </x:c>
    </x:row>
    <x:row r="36" s="12" customFormat="1" ht="22.5" customHeight="1">
      <x:c r="A36" s="7" t="inlineStr">
        <x:is>
          <x:t xml:space="preserve">A036</x:t>
        </x:is>
      </x:c>
      <x:c r="B36" s="4" t="inlineStr">
        <x:is>
          <x:t xml:space="preserve">https://drive.google.com/file/d/1pl_RKtS-Wod521OrOBNr2TKZJutbPWvS/view?usp=drive_link</x:t>
        </x:is>
      </x:c>
      <x:c r="C36" s="11" t="inlineStr">
        <x:is>
          <x:t xml:space="preserve">Novas regulamentações de refeições escolares aumentam o consumo de frutas e não aumentam o desperdício total no prato</x:t>
        </x:is>
      </x:c>
      <x:c r="D36" s="11" t="inlineStr">
        <x:is>
          <x:t xml:space="preserve">New School Meal Regulations Increase Fruit Consumption and Do Not Increase Total Plate Waste</x:t>
        </x:is>
      </x:c>
      <x:c r="E36" s="11" t="n">
        <x:v>2015</x:v>
      </x:c>
      <x:c r="F36" s="11" t="inlineStr">
        <x:is>
          <x:t xml:space="preserve">Marlene B. Schwartz; Kathryn E. Henderson; Margaret Read; Nicole Danna; Jeannette R. Ickovics</x:t>
        </x:is>
      </x:c>
      <x:c r="G36" s="11" t="inlineStr">
        <x:is>
          <x:t xml:space="preserve">Artigo empírico</x:t>
        </x:is>
      </x:c>
      <x:c r="H36" s="11" t="inlineStr">
        <x:is>
          <x:t xml:space="preserve">Childhood Obesity, 11(3)</x:t>
        </x:is>
      </x:c>
      <x:c r="I36" s="10" t="inlineStr">
        <x:is>
          <x:t xml:space="preserve">https://doi.org/10.1089/chi.2015.0019</x:t>
        </x:is>
      </x:c>
      <x:c r="J36" s="11" t="n">
        <x:v>3</x:v>
      </x:c>
      <x:c r="K36" s="11" t="inlineStr">
        <x:is>
          <x:t xml:space="preserve">Contexto; problema; comparação</x:t>
        </x:is>
      </x:c>
      <x:c r="L36" s="11" t="inlineStr">
        <x:is>
          <x:t xml:space="preserve">Referencial teórico; discussão</x:t>
        </x:is>
      </x:c>
      <x:c r="M36" s="11" t="inlineStr">
        <x:is>
          <x:t xml:space="preserve">Conecta-se ao projeto por tratar consumo e desperdício em refeitórios escolares, mostrando que mudanças no padrão de refeição/cardápio podem alterar seleção, consumo e desperdício.</x:t>
        </x:is>
      </x:c>
      <x:c r="N36" s="11" t="inlineStr">
        <x:is>
          <x:t xml:space="preserve">Em 12 escolas de distrito urbano de baixa renda, a seleção de frutas aumentou de 54% para 66%, o consumo de entradas subiu de 71% para 84% e o desperdício de entradas/vegetais caiu após novas normas alimentares.</x:t>
        </x:is>
      </x:c>
      <x:c r="O36" s="11" t="inlineStr">
        <x:is>
          <x:t xml:space="preserve">Pode sustentar que características do cardápio e da oferta influenciam consumo real, reforçando a importância de registrar cardápio e composição das refeições.</x:t>
        </x:is>
      </x:c>
      <x:c r="P36" s="11" t="inlineStr">
        <x:is>
          <x:t xml:space="preserve">Mudanças na composição e na oferta das refeições escolares podem alterar consumo e desperdício, indicando que o cardápio deve ser tratado como variável contextual relevante na previsão de demanda.</x:t>
        </x:is>
      </x:c>
      <x:c r="Q36" s="11" t="inlineStr">
        <x:is>
          <x:t xml:space="preserve">Artigo de 2015, anterior ao recorte recente ideal. Útil como apoio histórico, mas não deve ser referência principal se houver estudos recentes equivalentes.</x:t>
        </x:is>
      </x:c>
      <x:c r="R36" s="11" t="inlineStr">
        <x:is>
          <x:t xml:space="preserve">Apoio pontual</x:t>
        </x:is>
      </x:c>
    </x:row>
    <x:row r="37" s="12" customFormat="1" ht="22.5" customHeight="1">
      <x:c r="A37" s="7" t="inlineStr">
        <x:is>
          <x:t xml:space="preserve">A037</x:t>
        </x:is>
      </x:c>
      <x:c r="B37" s="4" t="inlineStr">
        <x:is>
          <x:t xml:space="preserve">https://drive.google.com/file/d/1V0S9JbOrc2Tkyg7J1IGSdIW6_Dg7ThqQ/view?usp=drive_link</x:t>
        </x:is>
      </x:c>
      <x:c r="C37" s="11" t="inlineStr">
        <x:is>
          <x:t xml:space="preserve">Que desperdício? Experiência em uma escola secundária da Malásia com um sistema de gestão de desperdício alimentar</x:t>
        </x:is>
      </x:c>
      <x:c r="D37" s="11" t="inlineStr">
        <x:is>
          <x:t xml:space="preserve">What a waste? An experience in a secondary school in Malaysia of a food waste management system (FWMS)</x:t>
        </x:is>
      </x:c>
      <x:c r="E37" s="11" t="n">
        <x:v>2023</x:v>
      </x:c>
      <x:c r="F37" s="11" t="inlineStr">
        <x:is>
          <x:t xml:space="preserve">Vathana Bathmanathan; Jegatheesan Rajadurai; Ratnesvary Alahakone</x:t>
        </x:is>
      </x:c>
      <x:c r="G37" s="11" t="inlineStr">
        <x:is>
          <x:t xml:space="preserve">Artigo empírico/piloto</x:t>
        </x:is>
      </x:c>
      <x:c r="H37" s="11" t="inlineStr">
        <x:is>
          <x:t xml:space="preserve">Heliyon, 9, e20327</x:t>
        </x:is>
      </x:c>
      <x:c r="I37" s="10" t="inlineStr">
        <x:is>
          <x:t xml:space="preserve">https://doi.org/10.1016/j.heliyon.2023.e20327</x:t>
        </x:is>
      </x:c>
      <x:c r="J37" s="11" t="n">
        <x:v>4</x:v>
      </x:c>
      <x:c r="K37" s="11" t="inlineStr">
        <x:is>
          <x:t xml:space="preserve">Problema; contexto; método; trabalhos futuros</x:t>
        </x:is>
      </x:c>
      <x:c r="L37" s="11" t="inlineStr">
        <x:is>
          <x:t xml:space="preserve">Introdução; referencial teórico; discussão; trabalhos futuros</x:t>
        </x:is>
      </x:c>
      <x:c r="M37" s="11" t="inlineStr">
        <x:is>
          <x:t xml:space="preserve">É relevante por tratar desperdício alimentar em escola, conscientização dos estudantes, coleta de resíduos e conversão em biofertilizante. Dialoga com sustentabilidade e gestão operacional, embora não trate previsão de demanda.</x:t>
        </x:is>
      </x:c>
      <x:c r="N37" s="11" t="inlineStr">
        <x:is>
          <x:t xml:space="preserve">O estudo coletou 339,5 kg de resíduos em 38 dias, gerou 131,5 kg de biofertilizante e observou aumento de consciência dos estudantes após intervenção. Mostra uma abordagem prática de gestão e valorização do desperdício.</x:t>
        </x:is>
      </x:c>
      <x:c r="O37" s="11" t="inlineStr">
        <x:is>
          <x:t xml:space="preserve">Pode apoiar a discussão de que a previsão reduz a geração de sobras, enquanto ações de gestão/educação podem tratar a sobra inevitável e fortalecer sustentabilidade.</x:t>
        </x:is>
      </x:c>
      <x:c r="P37" s="11" t="inlineStr">
        <x:is>
          <x:t xml:space="preserve">A gestão do desperdício alimentar em escolas pode combinar prevenção, educação ambiental e valorização de resíduos, ampliando o impacto de soluções baseadas em dados.</x:t>
        </x:is>
      </x:c>
      <x:c r="Q37" s="11" t="inlineStr">
        <x:is>
          <x:t xml:space="preserve">Estudo piloto, curto e interrompido pela pandemia. A estimativa de lucro é contextual e não deve ser extrapolada para o IFSP.</x:t>
        </x:is>
      </x:c>
      <x:c r="R37" s="11" t="inlineStr">
        <x:is>
          <x:t xml:space="preserve">Aproveitar parcialmente</x:t>
        </x:is>
      </x:c>
    </x:row>
    <x:row r="38" s="12" customFormat="1" ht="22.5" customHeight="1">
      <x:c r="A38" s="7" t="inlineStr">
        <x:is>
          <x:t xml:space="preserve">A038</x:t>
        </x:is>
      </x:c>
      <x:c r="B38" s="4" t="inlineStr">
        <x:is>
          <x:t xml:space="preserve">https://drive.google.com/file/d/1tedvfqDqn1dsGs9RhmePg5hT9J---uYF/view?usp=drive_link</x:t>
        </x:is>
      </x:c>
      <x:c r="C38" s="11" t="inlineStr">
        <x:is>
          <x:t xml:space="preserve">Tomada de decisão em economia circular como serviço centrada no cliente: inovação aberta orientada por aprendizado de máquina em serviços de alimentação</x:t>
        </x:is>
      </x:c>
      <x:c r="D38" s="11" t="inlineStr">
        <x:is>
          <x:t xml:space="preserve">Customer-centric circular economy as-a-service decision-making: Machine learning-driven open innovation in food service</x:t>
        </x:is>
      </x:c>
      <x:c r="E38" s="11" t="n">
        <x:v>2025</x:v>
      </x:c>
      <x:c r="F38" s="11" t="inlineStr">
        <x:is>
          <x:t xml:space="preserve">Tutur Wicaksono; Marhadi Marhadi; Agustinus Fritz Wijaya; Velly Anatasia; Krisztina Taralik</x:t>
        </x:is>
      </x:c>
      <x:c r="G38" s="11" t="inlineStr">
        <x:is>
          <x:t xml:space="preserve">Artigo empírico/metodológico</x:t>
        </x:is>
      </x:c>
      <x:c r="H38" s="11" t="inlineStr">
        <x:is>
          <x:t xml:space="preserve">Cleaner Environmental Systems, 18, 100302</x:t>
        </x:is>
      </x:c>
      <x:c r="I38" s="10" t="inlineStr">
        <x:is>
          <x:t xml:space="preserve">https://doi.org/10.1016/j.cesys.2025.100302</x:t>
        </x:is>
      </x:c>
      <x:c r="J38" s="11" t="n">
        <x:v>3</x:v>
      </x:c>
      <x:c r="K38" s="11" t="inlineStr">
        <x:is>
          <x:t xml:space="preserve">Técnica; contexto; trabalhos futuros</x:t>
        </x:is>
      </x:c>
      <x:c r="L38" s="11" t="inlineStr">
        <x:is>
          <x:t xml:space="preserve">Discussão; trabalhos futuros; metodologia pontual</x:t>
        </x:is>
      </x:c>
      <x:c r="M38" s="11" t="inlineStr">
        <x:is>
          <x:t xml:space="preserve">Conecta-se parcialmente por usar Random Forest e seleção de importância de atributos para priorizar medidas de economia circular em food service. É útil para discutir sustentabilidade orientada a dados e importância de variáveis, mas não previsão de demanda.</x:t>
        </x:is>
      </x:c>
      <x:c r="N38" s="11" t="inlineStr">
        <x:is>
          <x:t xml:space="preserve">O estudo usa revisão PRISMA, surveys com 1.428 respondentes e Random Forest para priorizar medidas como fornecimento sustentável, embalagens reutilizáveis, programas de fidelidade circular, redistribuição de excedentes e upcycling.</x:t>
        </x:is>
      </x:c>
      <x:c r="O38" s="11" t="inlineStr">
        <x:is>
          <x:t xml:space="preserve">Pode inspirar etapas futuras com decisão multicritério, economia circular, excedentes e uso de importância de atributos para apoio gerencial.</x:t>
        </x:is>
      </x:c>
      <x:c r="P38" s="11" t="inlineStr">
        <x:is>
          <x:t xml:space="preserve">Ferramentas de aprendizado de máquina podem apoiar decisões em sustentabilidade ao priorizar medidas de economia circular conforme relevância percebida e impacto operacional.</x:t>
        </x:is>
      </x:c>
      <x:c r="Q38" s="11" t="inlineStr">
        <x:is>
          <x:t xml:space="preserve">O foco é satisfação do cliente e CEaaS, não restaurante escolar nem previsão diária. Usar como apoio periférico.</x:t>
        </x:is>
      </x:c>
      <x:c r="R38" s="11" t="inlineStr">
        <x:is>
          <x:t xml:space="preserve">Apoio pontual</x:t>
        </x:is>
      </x:c>
    </x:row>
    <x:row r="39" s="12" customFormat="1" ht="22.5" customHeight="1">
      <x:c r="A39" s="7" t="inlineStr">
        <x:is>
          <x:t xml:space="preserve">A039</x:t>
        </x:is>
      </x:c>
      <x:c r="B39" s="4" t="inlineStr">
        <x:is>
          <x:t xml:space="preserve">https://drive.google.com/file/d/1IqJynHAfsSEsLMif2W50GDu-f78wwOtn/view?usp=drive_link</x:t>
        </x:is>
      </x:c>
      <x:c r="C39" s="11" t="inlineStr">
        <x:is>
          <x:t xml:space="preserve">Aplicações de ferramentas de aprendizado de máquina para tratamento biológico de resíduos orgânicos: perspectivas e desafios</x:t>
        </x:is>
      </x:c>
      <x:c r="D39" s="11" t="inlineStr">
        <x:is>
          <x:t xml:space="preserve">Applications of machine learning tools for biological treatment of organic wastes: Perspectives and challenges</x:t>
        </x:is>
      </x:c>
      <x:c r="E39" s="11" t="n">
        <x:v>2024</x:v>
      </x:c>
      <x:c r="F39" s="11" t="inlineStr">
        <x:is>
          <x:t xml:space="preserve">Long Chen; Pinjing He; Hua Zhang; Wei Peng; Junjie Qiu; Fan Lü</x:t>
        </x:is>
      </x:c>
      <x:c r="G39" s="11" t="inlineStr">
        <x:is>
          <x:t xml:space="preserve">Revisão</x:t>
        </x:is>
      </x:c>
      <x:c r="H39" s="11" t="inlineStr">
        <x:is>
          <x:t xml:space="preserve">Circular Economy, 3, 100088</x:t>
        </x:is>
      </x:c>
      <x:c r="I39" s="10" t="inlineStr">
        <x:is>
          <x:t xml:space="preserve">https://doi.org/10.1016/j.cec.2024.100088</x:t>
        </x:is>
      </x:c>
      <x:c r="J39" s="11" t="n">
        <x:v>2</x:v>
      </x:c>
      <x:c r="K39" s="11" t="inlineStr">
        <x:is>
          <x:t xml:space="preserve">Técnica; trabalhos futuros</x:t>
        </x:is>
      </x:c>
      <x:c r="L39" s="11" t="inlineStr">
        <x:is>
          <x:t xml:space="preserve">Trabalhos futuros; apoio técnico pontual</x:t>
        </x:is>
      </x:c>
      <x:c r="M39" s="11" t="inlineStr">
        <x:is>
          <x:t xml:space="preserve">Relação indireta. O artigo trata tratamento biológico de resíduos orgânicos com ML, como digestão anaeróbia, compostagem e criação de insetos. Pode ser útil apenas se a dissertação discutir destino/valorização das sobras.</x:t>
        </x:is>
      </x:c>
      <x:c r="N39" s="11" t="inlineStr">
        <x:is>
          <x:t xml:space="preserve">A revisão aponta uso de ANN, modelos baseados em árvores, SVM e algoritmos genéticos para prever produtos, otimizar processos, monitorar em tempo real e controlar emissões em tratamento de resíduos.</x:t>
        </x:is>
      </x:c>
      <x:c r="O39" s="11" t="inlineStr">
        <x:is>
          <x:t xml:space="preserve">Pode apoiar uma seção de trabalhos futuros sobre aproveitamento de resíduos inevitáveis e integração entre previsão de demanda e gestão circular do resíduo orgânico.</x:t>
        </x:is>
      </x:c>
      <x:c r="P39" s="11" t="inlineStr">
        <x:is>
          <x:t xml:space="preserve">Após a prevenção do desperdício, técnicas de tratamento e valorização de resíduos orgânicos podem ser otimizadas por aprendizado de máquina, ampliando a sustentabilidade do sistema alimentar.</x:t>
        </x:is>
      </x:c>
      <x:c r="Q39" s="11" t="inlineStr">
        <x:is>
          <x:t xml:space="preserve">Não trata demanda, refeitórios, escolas ou cardápio. Usar apenas como referência periférica de economia circular e resíduos.</x:t>
        </x:is>
      </x:c>
      <x:c r="R39" s="11" t="inlineStr">
        <x:is>
          <x:t xml:space="preserve">Apoio pontual</x:t>
        </x:is>
      </x:c>
    </x:row>
    <x:row r="40" s="12" customFormat="1" ht="22.5" customHeight="1">
      <x:c r="A40" s="7" t="inlineStr">
        <x:is>
          <x:t xml:space="preserve">A040</x:t>
        </x:is>
      </x:c>
      <x:c r="B40" s="4" t="inlineStr">
        <x:is>
          <x:t xml:space="preserve">https://drive.google.com/file/d/1_WJZ1SR2THs0UPIGjKNvY57ZyTNoFeZD/view?usp=drive_link</x:t>
        </x:is>
      </x:c>
      <x:c r="C40" s="11" t="inlineStr">
        <x:is>
          <x:t xml:space="preserve">Desperdício alimentar em restaurantes: investigação qualitativa das práticas de chefs</x:t>
        </x:is>
      </x:c>
      <x:c r="D40" s="11" t="inlineStr">
        <x:is>
          <x:t xml:space="preserve">Food waste in restaurants: A qualitative investigation of chefs’ practices</x:t>
        </x:is>
      </x:c>
      <x:c r="E40" s="11" t="n">
        <x:v>2024</x:v>
      </x:c>
      <x:c r="F40" s="11" t="inlineStr">
        <x:is>
          <x:t xml:space="preserve">Josephine Reardon; Kelly A. Way; M.E. Betsy Garrison</x:t>
        </x:is>
      </x:c>
      <x:c r="G40" s="11" t="inlineStr">
        <x:is>
          <x:t xml:space="preserve">Artigo qualitativo</x:t>
        </x:is>
      </x:c>
      <x:c r="H40" s="11" t="inlineStr">
        <x:is>
          <x:t xml:space="preserve">Food and Humanity, 3, 100405</x:t>
        </x:is>
      </x:c>
      <x:c r="I40" s="10" t="inlineStr">
        <x:is>
          <x:t xml:space="preserve">https://doi.org/10.1016/j.foohum.2024.100405</x:t>
        </x:is>
      </x:c>
      <x:c r="J40" s="11" t="n">
        <x:v>3</x:v>
      </x:c>
      <x:c r="K40" s="11" t="inlineStr">
        <x:is>
          <x:t xml:space="preserve">Contexto; problema; limitação; trabalhos futuros</x:t>
        </x:is>
      </x:c>
      <x:c r="L40" s="11" t="inlineStr">
        <x:is>
          <x:t xml:space="preserve">Referencial teórico; discussão; trabalhos futuros</x:t>
        </x:is>
      </x:c>
      <x:c r="M40" s="11" t="inlineStr">
        <x:is>
          <x:t xml:space="preserve">Conecta-se ao projeto por mostrar práticas operacionais de redução de desperdício na cozinha, como rastreamento, compostagem, reaproveitamento, desenho de cardápios e doação. Ajuda a lembrar que previsão é uma parte do sistema, não a solução inteira.</x:t>
        </x:is>
      </x:c>
      <x:c r="N40" s="11" t="inlineStr">
        <x:is>
          <x:t xml:space="preserve">A pesquisa com 10 chefs identificou cinco temas: rastreamento, compostagem, reaproveitamento de ingredientes, desenho de menus e doação. Também apontou ausência de sistemas formais de monitoramento em parte dos restaurantes.</x:t>
        </x:is>
      </x:c>
      <x:c r="O40" s="11" t="inlineStr">
        <x:is>
          <x:t xml:space="preserve">Pode sustentar a importância de registrar dados de forma sistemática e de conectar previsão de demanda a práticas operacionais da cozinha.</x:t>
        </x:is>
      </x:c>
      <x:c r="P40" s="11" t="inlineStr">
        <x:is>
          <x:t xml:space="preserve">A redução de desperdício em serviços de alimentação depende de dados, planejamento de cardápio, reaproveitamento, doação e engajamento da equipe operacional.</x:t>
        </x:is>
      </x:c>
      <x:c r="Q40" s="11" t="inlineStr">
        <x:is>
          <x:t xml:space="preserve">Contexto de restaurantes comerciais, não escola. Estudo qualitativo com amostra pequena; usar como apoio de discussão operacional.</x:t>
        </x:is>
      </x:c>
      <x:c r="R40" s="11" t="inlineStr">
        <x:is>
          <x:t xml:space="preserve">Aproveitar parcialmente</x:t>
        </x:is>
      </x:c>
    </x:row>
    <x:row r="41" s="12" customFormat="1" ht="22.5" customHeight="1">
      <x:c r="A41" s="7" t="inlineStr">
        <x:is>
          <x:t xml:space="preserve">A041</x:t>
        </x:is>
      </x:c>
      <x:c r="B41" s="4" t="inlineStr">
        <x:is>
          <x:t xml:space="preserve">https://drive.google.com/file/d/1jVkLDrQ3E9cNS4SiaNRMc0vb61km4M8h/view?usp=sharing</x:t>
        </x:is>
      </x:c>
      <x:c r="C41" s="11" t="inlineStr">
        <x:is>
          <x:t xml:space="preserve">Prevenção do desperdício de alimentos em sistemas universitários subsidiados de refeições: um modelo auxiliado por rede neural artificial sob incerteza</x:t>
        </x:is>
      </x:c>
      <x:c r="D41" s="11" t="inlineStr">
        <x:is>
          <x:t xml:space="preserve">Preventing food waste in subsidy-based university dining systems: An artificial neural network-aided model under uncertainty</x:t>
        </x:is>
      </x:c>
      <x:c r="E41" s="11" t="n">
        <x:v>2021</x:v>
      </x:c>
      <x:c r="F41" s="11" t="inlineStr">
        <x:is>
          <x:t xml:space="preserve">Mohammadali Faezirad; Alireza Pooya; Zahra Naji-Azimi; Maryam Amir Haeri</x:t>
        </x:is>
      </x:c>
      <x:c r="G41" s="11" t="inlineStr">
        <x:is>
          <x:t xml:space="preserve">Artigo</x:t>
        </x:is>
      </x:c>
      <x:c r="H41" s="11" t="inlineStr">
        <x:is>
          <x:t xml:space="preserve">Waste Management &amp; Research</x:t>
        </x:is>
      </x:c>
      <x:c r="I41" s="11" t="inlineStr">
        <x:is>
          <x:t xml:space="preserve">10.1177/0734242X211017974</x:t>
        </x:is>
      </x:c>
      <x:c r="J41" s="11" t="n">
        <x:v>5</x:v>
      </x:c>
      <x:c r="K41" s="11" t="inlineStr">
        <x:is>
          <x:t xml:space="preserve">Problema; técnica; comparação; limitação; trabalhos futuros</x:t>
        </x:is>
      </x:c>
      <x:c r="L41" s="11" t="inlineStr">
        <x:is>
          <x:t xml:space="preserve">Introdução; referencial teórico; metodologia; discussão; trabalhos futuros</x:t>
        </x:is>
      </x:c>
      <x:c r="M41" s="11" t="inlineStr">
        <x:is>
          <x:t xml:space="preserve">É um dos artigos mais próximos do seu projeto: trata restaurante universitário, reservas, presença/ausência no momento da refeição, previsão de demanda, desperdício, falta de refeição e custo de decisão.</x:t>
        </x:is>
      </x:c>
      <x:c r="N41" s="11" t="inlineStr">
        <x:is>
          <x:t xml:space="preserve">Usa dados de reserva e taxa de comparecimento/não comparecimento; propõe modelo em duas etapas com rede neural e componente de incerteza; considera explicitamente o trade-off entre sobra e falta; reporta redução estimada de até 79,66% no desperdício no estudo de caso.</x:t>
        </x:is>
      </x:c>
      <x:c r="O41" s="11" t="inlineStr">
        <x:is>
          <x:t xml:space="preserve">Pode sustentar: uso de reservas como variável central; necessidade de separar reserva de consumo real; margem de segurança baseada em custo de falta e sobra; tratamento da incerteza operacional; importância de não otimizar apenas erro médio, mas também custo decisório.</x:t>
        </x:is>
      </x:c>
      <x:c r="P41" s="11" t="inlineStr">
        <x:is>
          <x:t xml:space="preserve">Em sistemas universitários com reserva, a previsão de demanda deve considerar que a reserva não equivale automaticamente ao consumo efetivo, pois o não comparecimento gera desperdício e a subprodução gera penalidades operacionais.</x:t>
        </x:is>
      </x:c>
      <x:c r="Q41" s="11" t="inlineStr">
        <x:is>
          <x:t xml:space="preserve">O estudo usa um contexto subsidiado e com duas opções de refeição; a redução de 79% é resultado de estudo de caso e não deve ser generalizada diretamente. O modelo neural também exige cautela quanto a sobreajuste e transferibilidade.</x:t>
        </x:is>
      </x:c>
      <x:c r="R41" s="11" t="inlineStr">
        <x:is>
          <x:t xml:space="preserve">Aproveitar fortemente</x:t>
        </x:is>
      </x:c>
    </x:row>
    <x:row r="42" s="12" customFormat="1" ht="22.5" customHeight="1">
      <x:c r="A42" s="7" t="inlineStr">
        <x:is>
          <x:t xml:space="preserve">A042</x:t>
        </x:is>
      </x:c>
      <x:c r="B42" s="4" t="inlineStr">
        <x:is>
          <x:t xml:space="preserve">https://drive.google.com/file/d/1WZ0dRBT3WU4MNThUBOL9OSbBD6a9ig1l/view?usp=drive_link</x:t>
        </x:is>
      </x:c>
      <x:c r="C42" s="11" t="inlineStr">
        <x:is>
          <x:t xml:space="preserve">Uso de economia comportamental por Conselhos de Almoço Escolar influencia seleção e desperdício de vegetais</x:t>
        </x:is>
      </x:c>
      <x:c r="D42" s="11" t="inlineStr">
        <x:is>
          <x:t xml:space="preserve">School Lunch Advisory Councils’ use of behavioural economics influences vegetable selection and waste</x:t>
        </x:is>
      </x:c>
      <x:c r="E42" s="11" t="n">
        <x:v>2023</x:v>
      </x:c>
      <x:c r="F42" s="11" t="inlineStr">
        <x:is>
          <x:t xml:space="preserve">Carmen Byker Shanks; Molly Stenberg; Katie Bark; Betty Izumi; Casey Hoff; Courtney A. Parks</x:t>
        </x:is>
      </x:c>
      <x:c r="G42" s="11" t="inlineStr">
        <x:is>
          <x:t xml:space="preserve">Artigo</x:t>
        </x:is>
      </x:c>
      <x:c r="H42" s="11" t="inlineStr">
        <x:is>
          <x:t xml:space="preserve">Health Education Journal</x:t>
        </x:is>
      </x:c>
      <x:c r="I42" s="11" t="inlineStr">
        <x:is>
          <x:t xml:space="preserve">10.1177/00178969231172727</x:t>
        </x:is>
      </x:c>
      <x:c r="J42" s="11" t="n">
        <x:v>4</x:v>
      </x:c>
      <x:c r="K42" s="11" t="inlineStr">
        <x:is>
          <x:t xml:space="preserve">Contexto; problema; método; trabalhos futuros</x:t>
        </x:is>
      </x:c>
      <x:c r="L42" s="11" t="inlineStr">
        <x:is>
          <x:t xml:space="preserve">Introdução; referencial teórico; discussão; trabalhos futuros</x:t>
        </x:is>
      </x:c>
      <x:c r="M42" s="11" t="inlineStr">
        <x:is>
          <x:t xml:space="preserve">Conecta-se ao projeto por mostrar que desperdício escolar não depende apenas de quantidade produzida, mas também de ambiente, escolha alimentar, aceitação do cardápio e participação dos estudantes.</x:t>
        </x:is>
      </x:c>
      <x:c r="N42" s="11" t="inlineStr">
        <x:is>
          <x:t xml:space="preserve">Estudo quase-experimental pré-pós em cinco escolas; coleta de desperdício por pesagem direta e método de quarto de prato; estratégias de economia comportamental aumentaram seleção de vegetais no salad bar e reduziram desperdício de vegetais na linha principal.</x:t>
        </x:is>
      </x:c>
      <x:c r="O42" s="11" t="inlineStr">
        <x:is>
          <x:t xml:space="preserve">Pode sustentar: cardápio e ambiente de serviço afetam consumo; desperdício escolar precisa ser analisado por componente alimentar; intervenções operacionais e participação dos usuários são relevantes além da previsão quantitativa.</x:t>
        </x:is>
      </x:c>
      <x:c r="P42" s="11" t="inlineStr">
        <x:is>
          <x:t xml:space="preserve">A demanda e o desperdício em restaurantes escolares são influenciados por fatores comportamentais e pelo ambiente de serviço, de modo que modelos preditivos devem ser interpretados dentro do contexto operacional e alimentar.</x:t>
        </x:is>
      </x:c>
      <x:c r="Q42" s="11" t="inlineStr">
        <x:is>
          <x:t xml:space="preserve">Não trata previsão de demanda nem machine learning. O estudo foi feito em cinco escolas de Montana e com foco em frutas e vegetais; deve ser usado como apoio contextual, não como base metodológica de modelagem.</x:t>
        </x:is>
      </x:c>
      <x:c r="R42" s="11" t="inlineStr">
        <x:is>
          <x:t xml:space="preserve">Aproveitar parcialmente</x:t>
        </x:is>
      </x:c>
    </x:row>
    <x:row r="43" s="12" customFormat="1" ht="22.5" customHeight="1">
      <x:c r="A43" s="11" t="inlineStr">
        <x:is>
          <x:t xml:space="preserve">A005</x:t>
        </x:is>
      </x:c>
      <x:c r="B43" s="4" t="inlineStr">
        <x:is>
          <x:t xml:space="preserve">https://drive.google.com/file/d/1me78Xtm9FkEdVhXKSt3TGJ9WfjPLb0OC/view?usp=sharing</x:t>
        </x:is>
      </x:c>
      <x:c r="C43" s="11" t="inlineStr">
        <x:is>
          <x:t xml:space="preserve">Como conduzir aprendizado de máquina supervisionado rigoroso em pesquisa de sistemas de informação: o relatório de aprendizado supervisionado</x:t>
        </x:is>
      </x:c>
      <x:c r="D43" s="11" t="inlineStr">
        <x:is>
          <x:t xml:space="preserve">How to Conduct Rigorous Supervised Machine Learning in Information Systems Research: The Supervised Machine Learning Report Card</x:t>
        </x:is>
      </x:c>
      <x:c r="E43" s="11" t="n">
        <x:v>2021</x:v>
      </x:c>
      <x:c r="F43" s="11" t="inlineStr">
        <x:is>
          <x:t xml:space="preserve">Niklas Kühl; Robin Hirt; Lucas Baier; Björn Schmitz; Gerhard Satzger</x:t>
        </x:is>
      </x:c>
      <x:c r="G43" s="11" t="inlineStr">
        <x:is>
          <x:t xml:space="preserve">Artigo metodológico</x:t>
        </x:is>
      </x:c>
      <x:c r="H43" s="11" t="inlineStr">
        <x:is>
          <x:t xml:space="preserve">Communications of the Association for Information Systems, v. 48</x:t>
        </x:is>
      </x:c>
      <x:c r="I43" s="4" t="inlineStr">
        <x:is>
          <x:t xml:space="preserve">https://doi.org/10.17705/1CAIS.04845</x:t>
        </x:is>
      </x:c>
      <x:c r="J43" s="11" t="n">
        <x:v>5</x:v>
      </x:c>
      <x:c r="K43" s="11" t="inlineStr">
        <x:is>
          <x:t xml:space="preserve">Método; técnica; limitação; validação</x:t>
        </x:is>
      </x:c>
      <x:c r="L43" s="11" t="inlineStr">
        <x:is>
          <x:t xml:space="preserve">Metodologia; modelagem; validação; limitações</x:t>
        </x:is>
      </x:c>
      <x:c r="M43" s="11" t="inlineStr">
        <x:is>
          <x:t xml:space="preserve">É um dos artigos mais úteis para justificar rigor metodológico nos notebooks de modelagem. Sustenta documentação de pré-processamento, divisão treino/teste, validação cruzada, métricas, hiperparâmetros e reprodutibilidade.</x:t>
        </x:is>
      </x:c>
      <x:c r="N43" s="11" t="inlineStr">
        <x:is>
          <x:t xml:space="preserve">O artigo argumenta que resultados de aprendizado supervisionado dependem de pré-processamento, algoritmos, implementação e documentação. Defende relatório estruturado para permitir avaliação, reprodução e replicação. Também discute divisão de dados, validação cruzada e métricas para classificação e regressão.</x:t>
        </x:is>
      </x:c>
      <x:c r="O43" s="11" t="inlineStr">
        <x:is>
          <x:t xml:space="preserve">Usar para justificar: separação temporal entre treino e teste; documentação das escolhas de modelagem; registro de métricas; cuidado com reprodutibilidade; necessidade de não apresentar modelo sem detalhar dados, preparação e avaliação.</x:t>
        </x:is>
      </x:c>
      <x:c r="P43" s="11" t="inlineStr">
        <x:is>
          <x:t xml:space="preserve">Kühl et al. (2021) defendem que pesquisas com aprendizado de máquina supervisionado precisam documentar dados, pré-processamento, escolhas algorítmicas, estratégias de validação e métricas, pois a ausência desses elementos compromete a avaliação e a reprodutibilidade dos resultados.</x:t>
        </x:is>
      </x:c>
      <x:c r="Q43" s="11" t="inlineStr">
        <x:is>
          <x:t xml:space="preserve">Não é específico de alimentação escolar, mas é diretamente aplicável ao rigor dos modelos. Deve ser usado para metodologia, não para justificar desperdício alimentar.</x:t>
        </x:is>
      </x:c>
      <x:c r="R43" s="11" t="inlineStr">
        <x:is>
          <x:t xml:space="preserve">Aproveitar fortemente</x:t>
        </x:is>
      </x:c>
    </x:row>
    <x:row r="44" s="12" customFormat="1" ht="22.5" customHeight="1">
      <x:c r="A44" s="7" t="inlineStr">
        <x:is>
          <x:t xml:space="preserve">A044</x:t>
        </x:is>
      </x:c>
      <x:c r="B44" s="4" t="inlineStr">
        <x:is>
          <x:t xml:space="preserve">https://drive.google.com/file/d/1qwRXOfTN3uR8H6uo6RlS-sQRaxyzHdaz/view?usp=drive_link</x:t>
        </x:is>
      </x:c>
      <x:c r="C44" s="11" t="inlineStr">
        <x:is>
          <x:t xml:space="preserve">Políticas e práticas de nutrição escolar em uma reserva indígena norte-americana: considerações de pesquisa e política</x:t>
        </x:is>
      </x:c>
      <x:c r="D44" s="11" t="inlineStr">
        <x:is>
          <x:t xml:space="preserve">School Nutrition Policies and Practices on an American Indian Reservation: Research and Policy Considerations</x:t>
        </x:is>
      </x:c>
      <x:c r="E44" s="11" t="n">
        <x:v>2020</x:v>
      </x:c>
      <x:c r="F44" s="11" t="inlineStr">
        <x:is>
          <x:t xml:space="preserve">Regina S. Eddie; Jennifer Averill; Carolyn Montoya</x:t>
        </x:is>
      </x:c>
      <x:c r="G44" s="11" t="inlineStr">
        <x:is>
          <x:t xml:space="preserve">Artigo</x:t>
        </x:is>
      </x:c>
      <x:c r="H44" s="11" t="inlineStr">
        <x:is>
          <x:t xml:space="preserve">Policy, Politics, &amp; Nursing Practice</x:t>
        </x:is>
      </x:c>
      <x:c r="I44" s="11" t="inlineStr">
        <x:is>
          <x:t xml:space="preserve">10.1177/1527154420923744</x:t>
        </x:is>
      </x:c>
      <x:c r="J44" s="11" t="n">
        <x:v>3</x:v>
      </x:c>
      <x:c r="K44" s="11" t="inlineStr">
        <x:is>
          <x:t xml:space="preserve">Contexto; problema; limitação; trabalhos futuros</x:t>
        </x:is>
      </x:c>
      <x:c r="L44" s="11" t="inlineStr">
        <x:is>
          <x:t xml:space="preserve">Introdução; referencial teórico; limitações; trabalhos futuros</x:t>
        </x:is>
      </x:c>
      <x:c r="M44" s="11" t="inlineStr">
        <x:is>
          <x:t xml:space="preserve">Ajuda a contextualizar alimentação escolar como ambiente institucional complexo, sujeito a políticas, aceitação dos estudantes, disponibilidade de alimentos saudáveis e desperdício.</x:t>
        </x:is>
      </x:c>
      <x:c r="N44" s="11" t="inlineStr">
        <x:is>
          <x:t xml:space="preserve">Estudo descritivo com surveys, observações, estatística descritiva, análise matricial e temática; identifica respostas mistas às normas nutricionais e desperdício de alimentos saudáveis como preocupação importante; recomenda medir objetivamente o que e quanto os estudantes comem e desperdiçam.</x:t>
        </x:is>
      </x:c>
      <x:c r="O44" s="11" t="inlineStr">
        <x:is>
          <x:t xml:space="preserve">Pode sustentar: necessidade de dados observados; importância de não inferir aceitação apenas pela oferta do cardápio; papel de políticas escolares e aceitação dos estudantes; necessidade de medir desperdício e consumo real.</x:t>
        </x:is>
      </x:c>
      <x:c r="P44" s="11" t="inlineStr">
        <x:is>
          <x:t xml:space="preserve">A oferta de refeições saudáveis em ambiente escolar não garante consumo efetivo, pois aceitação, políticas institucionais e práticas locais influenciam o que é consumido ou desperdiçado.</x:t>
        </x:is>
      </x:c>
      <x:c r="Q44" s="11" t="inlineStr">
        <x:is>
          <x:t xml:space="preserve">Contexto muito específico: escolas em reserva Navajo nos EUA. Não trata previsão, restaurantes universitários ou machine learning. Usar como apoio contextual e de limitação, não como referência central.</x:t>
        </x:is>
      </x:c>
      <x:c r="R44" s="11" t="inlineStr">
        <x:is>
          <x:t xml:space="preserve">Aproveitar parcialmente</x:t>
        </x:is>
      </x:c>
    </x:row>
    <x:row r="45" s="12" customFormat="1" ht="22.5" customHeight="1">
      <x:c r="A45" s="7" t="inlineStr">
        <x:is>
          <x:t xml:space="preserve">A045</x:t>
        </x:is>
      </x:c>
      <x:c r="B45" s="4" t="inlineStr">
        <x:is>
          <x:t xml:space="preserve">https://drive.google.com/file/d/1VQzwoXWog8R8gLcTf9fAB28Xz22GcdoV/view?usp=drive_link</x:t>
        </x:is>
      </x:c>
      <x:c r="C45" s="11" t="inlineStr">
        <x:is>
          <x:t xml:space="preserve">Determinantes ambientais e políticos das escolhas alimentares: estudo preliminar em uma amostra croata</x:t>
        </x:is>
      </x:c>
      <x:c r="D45" s="11" t="inlineStr">
        <x:is>
          <x:t xml:space="preserve">Environmental and Political Determinants of Food Choices: A Preliminary Study in a Croatian Sample</x:t>
        </x:is>
      </x:c>
      <x:c r="E45" s="11" t="n">
        <x:v>2020</x:v>
      </x:c>
      <x:c r="F45" s="11" t="inlineStr">
        <x:is>
          <x:t xml:space="preserve">Marijana Matek Sarić; Krešimir Jakšić; Jelena Culin; Raquel P. F. Guiné</x:t>
        </x:is>
      </x:c>
      <x:c r="G45" s="11" t="inlineStr">
        <x:is>
          <x:t xml:space="preserve">Artigo</x:t>
        </x:is>
      </x:c>
      <x:c r="H45" s="11" t="inlineStr">
        <x:is>
          <x:t xml:space="preserve">Environments</x:t>
        </x:is>
      </x:c>
      <x:c r="I45" s="11" t="inlineStr">
        <x:is>
          <x:t xml:space="preserve">10.3390/environments7110103</x:t>
        </x:is>
      </x:c>
      <x:c r="J45" s="11" t="n">
        <x:v>2</x:v>
      </x:c>
      <x:c r="K45" s="11" t="inlineStr">
        <x:is>
          <x:t xml:space="preserve">Contexto; problema; limitação</x:t>
        </x:is>
      </x:c>
      <x:c r="L45" s="11" t="inlineStr">
        <x:is>
          <x:t xml:space="preserve">Introdução; referencial teórico; discussão</x:t>
        </x:is>
      </x:c>
      <x:c r="M45" s="11" t="inlineStr">
        <x:is>
          <x:t xml:space="preserve">Relação indireta. Ajuda a discutir que desperdício e escolhas alimentares envolvem dimensões ambientais, sociais e comportamentais, mas não trata restaurante escolar, previsão ou operação de produção.</x:t>
        </x:is>
      </x:c>
      <x:c r="N45" s="11" t="inlineStr">
        <x:is>
          <x:t xml:space="preserve">Survey com 1.534 participantes na Croácia; investiga determinantes ambientais e políticos das escolhas alimentares; itens sobre evitar desperdício ao cozinhar e evitar restaurantes sem política de recuperação de excedentes; resultados sugerem que motivações ambientais não explicam sozinhas escolhas alimentares.</x:t>
        </x:is>
      </x:c>
      <x:c r="O45" s="11" t="inlineStr">
        <x:is>
          <x:t xml:space="preserve">Pode sustentar: desperdício alimentar é problema socioambiental; comportamento alimentar não depende apenas de consciência ambiental; há diferenças por idade, gênero e escolaridade em atitudes pró-ambientais.</x:t>
        </x:is>
      </x:c>
      <x:c r="P45" s="11" t="inlineStr">
        <x:is>
          <x:t xml:space="preserve">A redução do desperdício alimentar depende não apenas de consciência ambiental, mas também de fatores comportamentais, sociais e operacionais que condicionam escolhas alimentares.</x:t>
        </x:is>
      </x:c>
      <x:c r="Q45" s="11" t="inlineStr">
        <x:is>
          <x:t xml:space="preserve">Contexto domiciliar/consumidor, não institucional. Baixa utilidade para metodologia de previsão; usar apenas se precisar ampliar a justificativa socioambiental.</x:t>
        </x:is>
      </x:c>
      <x:c r="R45" s="11" t="inlineStr">
        <x:is>
          <x:t xml:space="preserve">Apoio pontual</x:t>
        </x:is>
      </x:c>
    </x:row>
    <x:row r="46" s="12" customFormat="1" ht="22.5" customHeight="1">
      <x:c r="A46" s="7" t="inlineStr">
        <x:is>
          <x:t xml:space="preserve">A046</x:t>
        </x:is>
      </x:c>
      <x:c r="B46" s="4" t="inlineStr">
        <x:is>
          <x:t xml:space="preserve">https://drive.google.com/file/d/1XBht6EwsTYIYU_Y7_pUekMHrjFXwUZlb/view?usp=drive_link</x:t>
        </x:is>
      </x:c>
      <x:c r="C46" s="11" t="inlineStr">
        <x:is>
          <x:t xml:space="preserve">COVID-19 e o lockdown nacional: como escolhas alimentares e hábitos dietéticos mudaram em famílias no Reino Unido</x:t>
        </x:is>
      </x:c>
      <x:c r="D46" s="11" t="inlineStr">
        <x:is>
          <x:t xml:space="preserve">COVID-19 and the National Lockdown: How Food Choice and Dietary Habits Changed for Families in the United Kingdom</x:t>
        </x:is>
      </x:c>
      <x:c r="E46" s="11" t="n">
        <x:v>2022</x:v>
      </x:c>
      <x:c r="F46" s="11" t="inlineStr">
        <x:is>
          <x:t xml:space="preserve">L. Scott; H. Ensaff</x:t>
        </x:is>
      </x:c>
      <x:c r="G46" s="11" t="inlineStr">
        <x:is>
          <x:t xml:space="preserve">Artigo</x:t>
        </x:is>
      </x:c>
      <x:c r="H46" s="11" t="inlineStr">
        <x:is>
          <x:t xml:space="preserve">Frontiers in Nutrition</x:t>
        </x:is>
      </x:c>
      <x:c r="I46" s="11" t="inlineStr">
        <x:is>
          <x:t xml:space="preserve">10.3389/fnut.2022.847547</x:t>
        </x:is>
      </x:c>
      <x:c r="J46" s="11" t="n">
        <x:v>2</x:v>
      </x:c>
      <x:c r="K46" s="11" t="inlineStr">
        <x:is>
          <x:t xml:space="preserve">Contexto; comportamento; limitação</x:t>
        </x:is>
      </x:c>
      <x:c r="L46" s="11" t="inlineStr">
        <x:is>
          <x:t xml:space="preserve">Introdução; referencial teórico; limitações</x:t>
        </x:is>
      </x:c>
      <x:c r="M46" s="11" t="inlineStr">
        <x:is>
          <x:t xml:space="preserve">Relação indireta. Ajuda a mostrar que mudanças de rotina, escola, compras, preparo e convivência familiar alteram práticas alimentares e desperdício.</x:t>
        </x:is>
      </x:c>
      <x:c r="N46" s="11" t="inlineStr">
        <x:is>
          <x:t xml:space="preserve">Estudo qualitativo com pais e crianças; identificou mudanças em comensalidade, centralidade da comida no lar, lanches e compras; alguns relatos apontaram compras mais eficientes e redução de desperdício.</x:t>
        </x:is>
      </x:c>
      <x:c r="O46" s="11" t="inlineStr">
        <x:is>
          <x:t xml:space="preserve">Pode apoiar discussão sobre como alterações de rotina e contexto institucional afetam comportamento alimentar, mas não deve ser usado como base central do modelo.</x:t>
        </x:is>
      </x:c>
      <x:c r="P46" s="11" t="inlineStr">
        <x:is>
          <x:t xml:space="preserve">Mudanças de rotina podem alterar práticas alimentares e desperdício, reforçando que a demanda por refeições deve ser interpretada em relação ao contexto social e operacional.</x:t>
        </x:is>
      </x:c>
      <x:c r="Q46" s="11" t="inlineStr">
        <x:is>
          <x:t xml:space="preserve">Contexto doméstico e pandemia; não aborda restaurante escolar, previsão, produção ou dados operacionais.</x:t>
        </x:is>
      </x:c>
      <x:c r="R46" s="11" t="inlineStr">
        <x:is>
          <x:t xml:space="preserve">Apoio pontual</x:t>
        </x:is>
      </x:c>
    </x:row>
    <x:row r="47" s="12" customFormat="1" ht="22.5" customHeight="1">
      <x:c r="A47" s="7" t="inlineStr">
        <x:is>
          <x:t xml:space="preserve">A047</x:t>
        </x:is>
      </x:c>
      <x:c r="B47" s="4" t="inlineStr">
        <x:is>
          <x:t xml:space="preserve">https://drive.google.com/file/d/1s9kSCCnasbSeN8cpYSE06BqLE2ABKqGd/view?usp=drive_link</x:t>
        </x:is>
      </x:c>
      <x:c r="C47" s="11" t="inlineStr">
        <x:is>
          <x:t xml:space="preserve">Redução do desperdício no prato em escolas da Letônia: avaliação de intervenções para promover práticas sustentáveis de consumo alimentar</x:t>
        </x:is>
      </x:c>
      <x:c r="D47" s="11" t="inlineStr">
        <x:is>
          <x:t xml:space="preserve">Reducing Plate Waste in Latvian Schools: Evaluating Interventions to Promote Sustainable Food Consumption Practices</x:t>
        </x:is>
      </x:c>
      <x:c r="E47" s="11" t="n">
        <x:v>2025</x:v>
      </x:c>
      <x:c r="F47" s="11" t="inlineStr">
        <x:is>
          <x:t xml:space="preserve">Jelena Lonska; Sergejs Kodors; Juta Deksne; Lienite Litavniece; Anda Zvaigzne; Inese Silicka; Inta Kotane</x:t>
        </x:is>
      </x:c>
      <x:c r="G47" s="11" t="inlineStr">
        <x:is>
          <x:t xml:space="preserve">Artigo</x:t>
        </x:is>
      </x:c>
      <x:c r="H47" s="11" t="inlineStr">
        <x:is>
          <x:t xml:space="preserve">Foods</x:t>
        </x:is>
      </x:c>
      <x:c r="I47" s="11" t="inlineStr">
        <x:is>
          <x:t xml:space="preserve">10.3390/foods14010126</x:t>
        </x:is>
      </x:c>
      <x:c r="J47" s="11" t="n">
        <x:v>5</x:v>
      </x:c>
      <x:c r="K47" s="11" t="inlineStr">
        <x:is>
          <x:t xml:space="preserve">Problema; contexto; método; intervenção; limitação</x:t>
        </x:is>
      </x:c>
      <x:c r="L47" s="11" t="inlineStr">
        <x:is>
          <x:t xml:space="preserve">Introdução; referencial teórico; metodologia; discussão; trabalhos futuros</x:t>
        </x:is>
      </x:c>
      <x:c r="M47" s="11" t="inlineStr">
        <x:is>
          <x:t xml:space="preserve">Muito relevante para o projeto. Trata escolas, desperdício no prato, intervenções, medição longitudinal e mostra que soluções simples podem falhar quando o modelo de serviço limita escolha e porção.</x:t>
        </x:is>
      </x:c>
      <x:c r="N47" s="11" t="inlineStr">
        <x:is>
          <x:t xml:space="preserve">Avaliou três intervenções: rastreador de desperdício, campanha educativa e mudanças organizacionais. O rastreador reduziu desperdício no curto prazo, mas sem efeito sustentável; campanha isolada foi insuficiente; mudanças organizacionais aumentaram desperdício. Usa Wilcoxon e modelos por dia/turma.</x:t>
        </x:is>
      </x:c>
      <x:c r="O47" s="11" t="inlineStr">
        <x:is>
          <x:t xml:space="preserve">Sustenta que margem de segurança, cardápio e intervenções precisam considerar estrutura operacional. Também reforça que redução de desperdício exige abordagem multifacetada e adaptada ao contexto, não regra única.</x:t>
        </x:is>
      </x:c>
      <x:c r="P47" s="11" t="inlineStr">
        <x:is>
          <x:t xml:space="preserve">Em alimentação escolar, a efetividade de intervenções depende das oportunidades reais de escolha, controle de porção e rotina do serviço; campanhas isoladas ou mudanças genéricas podem não produzir redução sustentável do desperdício.</x:t>
        </x:is>
      </x:c>
      <x:c r="Q47" s="11" t="inlineStr">
        <x:is>
          <x:t xml:space="preserve">O artigo avalia desperdício no prato, não previsão de demanda. O contexto letão usa modelo parcialmente pré-porcionado, o que pode diferir do restaurante escolar do projeto.</x:t>
        </x:is>
      </x:c>
      <x:c r="R47" s="11" t="inlineStr">
        <x:is>
          <x:t xml:space="preserve">Aproveitar fortemente</x:t>
        </x:is>
      </x:c>
    </x:row>
    <x:row r="48" s="12" customFormat="1" ht="22.5" customHeight="1">
      <x:c r="A48" s="7" t="inlineStr">
        <x:is>
          <x:t xml:space="preserve">A048</x:t>
        </x:is>
      </x:c>
      <x:c r="B48" s="4" t="inlineStr">
        <x:is>
          <x:t xml:space="preserve">https://drive.google.com/file/d/1vXGODMdSIZ152UodakUmAfy0pzV7exYY/view?usp=drive_link</x:t>
        </x:is>
      </x:c>
      <x:c r="C48" s="11" t="inlineStr">
        <x:is>
          <x:t xml:space="preserve">Fatores sociodemográficos, comportamentos, motivações e atitudes na gestão do desperdício alimentar em domicílios romenos</x:t>
        </x:is>
      </x:c>
      <x:c r="D48" s="11" t="inlineStr">
        <x:is>
          <x:t xml:space="preserve">Socio-Demographic Factors, Behaviors, Motivations, and Attitudes in Food Waste Management of Romanian Households</x:t>
        </x:is>
      </x:c>
      <x:c r="E48" s="11" t="n">
        <x:v>2024</x:v>
      </x:c>
      <x:c r="F48" s="11" t="inlineStr">
        <x:is>
          <x:t xml:space="preserve">Elena Morosan; Adriana Dărăban; Violeta Popovici; Andreea Rusu; Elena Iuliana Ilie; Monica Licu; Oana Karampelas; Dumitru Lupuliasa; Emma Adriana Ozon; Vanessa Maria Maravela; Ioana Andreea Popescu</x:t>
        </x:is>
      </x:c>
      <x:c r="G48" s="11" t="inlineStr">
        <x:is>
          <x:t xml:space="preserve">Artigo</x:t>
        </x:is>
      </x:c>
      <x:c r="H48" s="11" t="inlineStr">
        <x:is>
          <x:t xml:space="preserve">Nutrients</x:t>
        </x:is>
      </x:c>
      <x:c r="I48" s="11" t="inlineStr">
        <x:is>
          <x:t xml:space="preserve">10.3390/nu16162738</x:t>
        </x:is>
      </x:c>
      <x:c r="J48" s="11" t="n">
        <x:v>2</x:v>
      </x:c>
      <x:c r="K48" s="11" t="inlineStr">
        <x:is>
          <x:t xml:space="preserve">Contexto; comportamento; limitação</x:t>
        </x:is>
      </x:c>
      <x:c r="L48" s="11" t="inlineStr">
        <x:is>
          <x:t xml:space="preserve">Introdução; referencial teórico; limitações</x:t>
        </x:is>
      </x:c>
      <x:c r="M48" s="11" t="inlineStr">
        <x:is>
          <x:t xml:space="preserve">Relação indireta. Útil para ampliar a discussão sobre desperdício como fenômeno multifatorial, envolvendo planejamento de compras, preparo, motivação, percepção de custo e comportamento.</x:t>
        </x:is>
      </x:c>
      <x:c r="N48" s="11" t="inlineStr">
        <x:is>
          <x:t xml:space="preserve">Mostra que desperdício domiciliar é multifatorial; listas de compras, envolvimento no preparo e percepção do desperdício como perda financeira se associam a menor desperdício; culpa pode se associar a maior desperdício.</x:t>
        </x:is>
      </x:c>
      <x:c r="O48" s="11" t="inlineStr">
        <x:is>
          <x:t xml:space="preserve">Pode sustentar que desperdício não é apenas problema técnico; envolve comportamento, emoção, informação e rotina.</x:t>
        </x:is>
      </x:c>
      <x:c r="P48" s="11" t="inlineStr">
        <x:is>
          <x:t xml:space="preserve">O desperdício alimentar resulta de fatores operacionais e comportamentais, exigindo que soluções preditivas sejam interpretadas como parte de um sistema decisório mais amplo.</x:t>
        </x:is>
      </x:c>
      <x:c r="Q48" s="11" t="inlineStr">
        <x:is>
          <x:t xml:space="preserve">Estudo domiciliar, autorrelatado e fora do contexto escolar/institucional. Não fundamenta diretamente modelagem de demanda.</x:t>
        </x:is>
      </x:c>
      <x:c r="R48" s="11" t="inlineStr">
        <x:is>
          <x:t xml:space="preserve">Apoio pontual</x:t>
        </x:is>
      </x:c>
    </x:row>
    <x:row r="49" s="12" customFormat="1" ht="22.5" customHeight="1">
      <x:c r="A49" s="7" t="inlineStr">
        <x:is>
          <x:t xml:space="preserve">A049</x:t>
        </x:is>
      </x:c>
      <x:c r="B49" s="4" t="inlineStr">
        <x:is>
          <x:t xml:space="preserve">https://drive.google.com/file/d/1fnj2tZquh75LF_z3bHQjDfgpdGV9SIVs/view?usp=drive_link</x:t>
        </x:is>
      </x:c>
      <x:c r="C49" s="11" t="inlineStr">
        <x:is>
          <x:t xml:space="preserve">Uso de aprendizado de máquina para prever desperdício de alimentos no setor de alimentação fora do lar em alta resolução: um caso em Dongguan</x:t>
        </x:is>
      </x:c>
      <x:c r="D49" s="11" t="inlineStr">
        <x:is>
          <x:t xml:space="preserve">Using machine learning method to predict food waste in catering industry under high resolution: a case in Dongguan</x:t>
        </x:is>
      </x:c>
      <x:c r="E49" s="11" t="n">
        <x:v>2023</x:v>
      </x:c>
      <x:c r="F49" s="11" t="inlineStr">
        <x:is>
          <x:t xml:space="preserve">Jiehong Tang; Yuting Tang; Yupeng Liu; Hanchen Su; Yuxuan Zhang; Ziwei Sun; Xiaoqian Ma</x:t>
        </x:is>
      </x:c>
      <x:c r="G49" s="11" t="inlineStr">
        <x:is>
          <x:t xml:space="preserve">Artigo</x:t>
        </x:is>
      </x:c>
      <x:c r="H49" s="11" t="inlineStr">
        <x:is>
          <x:t xml:space="preserve">Journal of Material Cycles and Waste Management</x:t>
        </x:is>
      </x:c>
      <x:c r="I49" s="11" t="inlineStr">
        <x:is>
          <x:t xml:space="preserve">10.1007/s10163-023-01706-8</x:t>
        </x:is>
      </x:c>
      <x:c r="J49" s="11" t="n">
        <x:v>4</x:v>
      </x:c>
      <x:c r="K49" s="11" t="inlineStr">
        <x:is>
          <x:t xml:space="preserve">Técnica; problema; método; comparação</x:t>
        </x:is>
      </x:c>
      <x:c r="L49" s="11" t="inlineStr">
        <x:is>
          <x:t xml:space="preserve">Referencial teórico; metodologia; discussão; trabalhos futuros</x:t>
        </x:is>
      </x:c>
      <x:c r="M49" s="11" t="inlineStr">
        <x:is>
          <x:t xml:space="preserve">Conecta-se ao projeto por usar aprendizado de máquina para prever geração de desperdício em serviços de alimentação, embora em escala urbana e não em restaurante escolar.</x:t>
        </x:is>
      </x:c>
      <x:c r="N49" s="11" t="inlineStr">
        <x:is>
          <x:t xml:space="preserve">Usa BPN e Random Forest com dados operacionais, POI e análise espacial; prevê geração de desperdício de 96.303 restaurantes; RF apresenta melhor desempenho para intervalos de geração de desperdício; discute coleta, tratamento distribuído e redução na fonte.</x:t>
        </x:is>
      </x:c>
      <x:c r="O49" s="11" t="inlineStr">
        <x:is>
          <x:t xml:space="preserve">Pode sustentar que ML é adequado para problemas não lineares de desperdício alimentar e que variáveis operacionais/contextuais ajudam na previsão; também reforça a utilidade de mapas/segmentação quando houver expansão futura para múltiplas unidades.</x:t>
        </x:is>
      </x:c>
      <x:c r="P49" s="11" t="inlineStr">
        <x:is>
          <x:t xml:space="preserve">Modelos de aprendizado de máquina têm sido empregados para prever desperdício em serviços de alimentação quando há relações não lineares entre operação, contexto e geração de resíduos.</x:t>
        </x:is>
      </x:c>
      <x:c r="Q49" s="11" t="inlineStr">
        <x:is>
          <x:t xml:space="preserve">O foco é geração urbana de resíduos por restaurantes e logística de coleta, não previsão diária de demanda de refeições. A unidade de análise é restaurante/POI, não dia letivo.</x:t>
        </x:is>
      </x:c>
      <x:c r="R49" s="11" t="inlineStr">
        <x:is>
          <x:t xml:space="preserve">Aproveitar parcialmente</x:t>
        </x:is>
      </x:c>
    </x:row>
    <x:row r="50" s="12" customFormat="1" ht="22.5" customHeight="1">
      <x:c r="A50" s="7" t="inlineStr">
        <x:is>
          <x:t xml:space="preserve">A050</x:t>
        </x:is>
      </x:c>
      <x:c r="B50" s="4" t="inlineStr">
        <x:is>
          <x:t xml:space="preserve">https://drive.google.com/file/d/1fwpusBVCUbvd1mdD5qMqQcgUOIkQ67Dx/view?usp=drive_link</x:t>
        </x:is>
      </x:c>
      <x:c r="C50" s="11" t="inlineStr">
        <x:is>
          <x:t xml:space="preserve">Melhoria da sustentabilidade da cadeia de refeições escolares: o papel do tamanho das porções</x:t>
        </x:is>
      </x:c>
      <x:c r="D50" s="11" t="inlineStr">
        <x:is>
          <x:t xml:space="preserve">Improving the overall sustainability of the school meal chain: the role of portion sizes</x:t>
        </x:is>
      </x:c>
      <x:c r="E50" s="11" t="n">
        <x:v>2020</x:v>
      </x:c>
      <x:c r="F50" s="11" t="inlineStr">
        <x:is>
          <x:t xml:space="preserve">C. M. Balzaretti; V. Ventura; S. Ratti; G. Ferrazzi; A. Spallina; M. O. Carruba; M. Castrica</x:t>
        </x:is>
      </x:c>
      <x:c r="G50" s="11" t="inlineStr">
        <x:is>
          <x:t xml:space="preserve">Artigo</x:t>
        </x:is>
      </x:c>
      <x:c r="H50" s="11" t="inlineStr">
        <x:is>
          <x:t xml:space="preserve">Eating and Weight Disorders - Studies on Anorexia, Bulimia and Obesity</x:t>
        </x:is>
      </x:c>
      <x:c r="I50" s="11" t="inlineStr">
        <x:is>
          <x:t xml:space="preserve">10.1007/s40519-018-0524-z</x:t>
        </x:is>
      </x:c>
      <x:c r="J50" s="11" t="n">
        <x:v>4</x:v>
      </x:c>
      <x:c r="K50" s="11" t="inlineStr">
        <x:is>
          <x:t xml:space="preserve">Contexto; problema; limitação; trabalhos futuros</x:t>
        </x:is>
      </x:c>
      <x:c r="L50" s="11" t="inlineStr">
        <x:is>
          <x:t xml:space="preserve">Introdução; referencial teórico; discussão</x:t>
        </x:is>
      </x:c>
      <x:c r="M50" s="11" t="inlineStr">
        <x:is>
          <x:t xml:space="preserve">Fortalece a discussão sobre desperdício em alimentação escolar e mostra que porções inadequadas podem afetar simultaneamente saúde, aceitação e desperdício.</x:t>
        </x:is>
      </x:c>
      <x:c r="N50" s="11" t="inlineStr">
        <x:is>
          <x:t xml:space="preserve">Analisa contratos de alimentação escolar em capitais regionais italianas; encontra grande variação de porções e, em vários casos, porções maiores que referências nacionais; relaciona porção, sustentabilidade, obesidade infantil e desperdício.</x:t>
        </x:is>
      </x:c>
      <x:c r="O50" s="11" t="inlineStr">
        <x:is>
          <x:t xml:space="preserve">Pode sustentar que desperdício não decorre apenas de erro de previsão, mas também de decisões operacionais anteriores, como tamanho de porção e políticas de contratação.</x:t>
        </x:is>
      </x:c>
      <x:c r="P50" s="11" t="inlineStr">
        <x:is>
          <x:t xml:space="preserve">Em alimentação escolar, a sustentabilidade depende não apenas da quantidade total produzida, mas também da adequação das porções servidas aos usuários e ao contexto institucional.</x:t>
        </x:is>
      </x:c>
      <x:c r="Q50" s="11" t="inlineStr">
        <x:is>
          <x:t xml:space="preserve">Não usa dados de consumo real nem modelagem preditiva. O estudo é anterior a 2020, embora publicado em 2020; usar como apoio contextual e operacional.</x:t>
        </x:is>
      </x:c>
      <x:c r="R50" s="11" t="inlineStr">
        <x:is>
          <x:t xml:space="preserve">Aproveitar parcialmente</x:t>
        </x:is>
      </x:c>
    </x:row>
    <x:row r="51" s="12" customFormat="1" ht="22.5" customHeight="1">
      <x:c r="A51" s="7" t="inlineStr">
        <x:is>
          <x:t xml:space="preserve">A051</x:t>
        </x:is>
      </x:c>
      <x:c r="B51" s="4" t="inlineStr">
        <x:is>
          <x:t xml:space="preserve">https://drive.google.com/file/d/1z9ZCV6VR0P3g1RfQNhV-r7-2ksZtzaE_/view?usp=drive_link</x:t>
        </x:is>
      </x:c>
      <x:c r="C51" s="11" t="inlineStr">
        <x:is>
          <x:t xml:space="preserve">Medição do nível de contaminação por aflatoxina em pistaches aplicando técnicas de aprendizado de máquina a imagens hiperespectrais</x:t>
        </x:is>
      </x:c>
      <x:c r="D51" s="11" t="inlineStr">
        <x:is>
          <x:t xml:space="preserve">Measuring the Level of Aflatoxin Infection in Pistachio Nuts by Applying Machine Learning Techniques to Hyperspectral Images</x:t>
        </x:is>
      </x:c>
      <x:c r="E51" s="11" t="n">
        <x:v>2025</x:v>
      </x:c>
      <x:c r="F51" s="11" t="inlineStr">
        <x:is>
          <x:t xml:space="preserve">Lizzie Williams; Pancham Shukla; Akbar Sheikh-Akbari; Sina Mahroughi; Iosif Mporas</x:t>
        </x:is>
      </x:c>
      <x:c r="G51" s="11" t="inlineStr">
        <x:is>
          <x:t xml:space="preserve">Artigo</x:t>
        </x:is>
      </x:c>
      <x:c r="H51" s="11" t="inlineStr">
        <x:is>
          <x:t xml:space="preserve">Sensors</x:t>
        </x:is>
      </x:c>
      <x:c r="I51" s="11" t="inlineStr">
        <x:is>
          <x:t xml:space="preserve">10.3390/s25051548</x:t>
        </x:is>
      </x:c>
      <x:c r="J51" s="11" t="n">
        <x:v>1</x:v>
      </x:c>
      <x:c r="K51" s="11" t="inlineStr">
        <x:is>
          <x:t xml:space="preserve">Técnica; limitação</x:t>
        </x:is>
      </x:c>
      <x:c r="L51" s="11" t="inlineStr">
        <x:is>
          <x:t xml:space="preserve">Metodologia; trabalhos futuros</x:t>
        </x:is>
      </x:c>
      <x:c r="M51" s="11" t="inlineStr">
        <x:is>
          <x:t xml:space="preserve">Relação fraca. É útil apenas como exemplo técnico de ML, redução de dimensionalidade, K-Means, ResNet e limitação por base pequena, mas não conversa diretamente com demanda ou restaurante escolar.</x:t>
        </x:is>
      </x:c>
      <x:c r="N51" s="11" t="inlineStr">
        <x:is>
          <x:t xml:space="preserve">Usa imagens hiperespectrais para detectar contaminação em pistaches; K-Means com redução de dimensionalidade atingiu 84,38% de acurácia; ResNet em comprimento de onda específico atingiu 96,67%; VAE/DCGAN foram limitados pelo tamanho da base.</x:t>
        </x:is>
      </x:c>
      <x:c r="O51" s="11" t="inlineStr">
        <x:is>
          <x:t xml:space="preserve">Pode ser usado, se necessário, para uma observação metodológica periférica: bases pequenas aumentam risco de sobreajuste e técnicas de redução de dimensionalidade podem reduzir custo computacional.</x:t>
        </x:is>
      </x:c>
      <x:c r="P51" s="11" t="inlineStr">
        <x:is>
          <x:t xml:space="preserve">Em aplicações de aprendizado de máquina, bases pequenas e alta dimensionalidade exigem cuidado com sobreajuste, seleção de atributos e validação do desempenho.</x:t>
        </x:is>
      </x:c>
      <x:c r="Q51" s="11" t="inlineStr">
        <x:is>
          <x:t xml:space="preserve">Contexto é segurança alimentar e visão computacional, não desperdício operacional nem previsão de demanda. Provavelmente não vale citar na dissertação, salvo em seção técnica muito ampla.</x:t>
        </x:is>
      </x:c>
      <x:c r="R51" s="11" t="inlineStr">
        <x:is>
          <x:t xml:space="preserve">Apoio pontual</x:t>
        </x:is>
      </x:c>
    </x:row>
    <x:row r="52" s="12" customFormat="1" ht="22.5" customHeight="1">
      <x:c r="A52" s="7" t="inlineStr">
        <x:is>
          <x:t xml:space="preserve">A052</x:t>
        </x:is>
      </x:c>
      <x:c r="B52" s="4" t="inlineStr">
        <x:is>
          <x:t xml:space="preserve">https://drive.google.com/file/d/1Y2s4GU0lTMV4NVIiDFshNM9xDlwXXZP_/view?usp=drive_link</x:t>
        </x:is>
      </x:c>
      <x:c r="C52" s="11" t="inlineStr">
        <x:is>
          <x:t xml:space="preserve">Associação entre características sociodemográficas e comportamentos de desperdício alimentar domiciliar entre estudantes universitários na Itália: estudo UniFoodWaste</x:t>
        </x:is>
      </x:c>
      <x:c r="D52" s="11" t="inlineStr">
        <x:is>
          <x:t xml:space="preserve">Association Between Socio-Demographic Characteristics and Household Food Waste Behaviors Among University Students in Italy: The UniFoodWaste Study</x:t>
        </x:is>
      </x:c>
      <x:c r="E52" s="11" t="n">
        <x:v>2024</x:v>
      </x:c>
      <x:c r="F52" s="11" t="inlineStr">
        <x:is>
          <x:t xml:space="preserve">Lorenzo Stacchini; Daniele Nucci; Nicoletta Romano; Maria Villa; Chiara Passeri; Roberta Ferranti; Vincenza Gianfredi</x:t>
        </x:is>
      </x:c>
      <x:c r="G52" s="11" t="inlineStr">
        <x:is>
          <x:t xml:space="preserve">Artigo</x:t>
        </x:is>
      </x:c>
      <x:c r="H52" s="11" t="inlineStr">
        <x:is>
          <x:t xml:space="preserve">Sustainability</x:t>
        </x:is>
      </x:c>
      <x:c r="I52" s="11" t="inlineStr">
        <x:is>
          <x:t xml:space="preserve">10.3390/su16219279</x:t>
        </x:is>
      </x:c>
      <x:c r="J52" s="11" t="n">
        <x:v>3</x:v>
      </x:c>
      <x:c r="K52" s="11" t="inlineStr">
        <x:is>
          <x:t xml:space="preserve">Contexto; comportamento; limitação; trabalhos futuros</x:t>
        </x:is>
      </x:c>
      <x:c r="L52" s="11" t="inlineStr">
        <x:is>
          <x:t xml:space="preserve">Introdução; referencial teórico; discussão; limitações</x:t>
        </x:is>
      </x:c>
      <x:c r="M52" s="11" t="inlineStr">
        <x:is>
          <x:t xml:space="preserve">Relaciona-se indiretamente ao público universitário e ao desperdício alimentar, ajudando a discutir comportamento, aplicativos, hábitos e fatores sociodemográficos.</x:t>
        </x:is>
      </x:c>
      <x:c r="N52" s="11" t="inlineStr">
        <x:is>
          <x:t xml:space="preserve">Estudo transversal com 2.779 estudantes universitários em Milão; uso frequente de apps de entrega associa-se a menor comportamento preventivo; apps anti-desperdício têm efeito positivo; fatores sociodemográficos influenciam práticas anti-desperdício.</x:t>
        </x:is>
      </x:c>
      <x:c r="O52" s="11" t="inlineStr">
        <x:is>
          <x:t xml:space="preserve">Pode sustentar que desperdício entre estudantes envolve hábitos, estilo de vida, tecnologia e contexto social, não apenas cálculo de produção.</x:t>
        </x:is>
      </x:c>
      <x:c r="P52" s="11" t="inlineStr">
        <x:is>
          <x:t xml:space="preserve">Entre estudantes universitários, comportamentos ligados ao desperdício alimentar variam conforme hábitos, contexto sociodemográfico e uso de tecnologias, indicando que soluções operacionais devem dialogar com práticas reais dos usuários.</x:t>
        </x:is>
      </x:c>
      <x:c r="Q52" s="11" t="inlineStr">
        <x:is>
          <x:t xml:space="preserve">É desperdício domiciliar autorrelatado, não consumo em restaurante escolar. Não sustenta diretamente modelos de previsão de refeições.</x:t>
        </x:is>
      </x:c>
      <x:c r="R52" s="11" t="inlineStr">
        <x:is>
          <x:t xml:space="preserve">Aproveitar parcialmente</x:t>
        </x:is>
      </x:c>
    </x:row>
    <x:row r="53" s="12" customFormat="1" ht="22.5" customHeight="1">
      <x:c r="A53" s="11" t="inlineStr">
        <x:is>
          <x:t xml:space="preserve">A016</x:t>
        </x:is>
      </x:c>
      <x:c r="B53" s="4" t="inlineStr">
        <x:is>
          <x:t xml:space="preserve">https://drive.google.com/file/d/1_-VPmU4uh6g73qAlieHiIxBLlyz8ugo-/view?usp=drive_link</x:t>
        </x:is>
      </x:c>
      <x:c r="C53" s="11" t="inlineStr">
        <x:is>
          <x:t xml:space="preserve">Uma revisão sobre árvores de decisão: conceitos, algoritmos e aplicações</x:t>
        </x:is>
      </x:c>
      <x:c r="D53" s="11" t="inlineStr">
        <x:is>
          <x:t xml:space="preserve">A Survey of Decision Trees: Concepts, Algorithms, and Applications</x:t>
        </x:is>
      </x:c>
      <x:c r="E53" s="11" t="n">
        <x:v>2024</x:v>
      </x:c>
      <x:c r="F53" s="11" t="inlineStr">
        <x:is>
          <x:t xml:space="preserve">Ibomoiye Domor Mienye; Nobert Jere</x:t>
        </x:is>
      </x:c>
      <x:c r="G53" s="11" t="inlineStr">
        <x:is>
          <x:t xml:space="preserve">Revisão</x:t>
        </x:is>
      </x:c>
      <x:c r="H53" s="11" t="inlineStr">
        <x:is>
          <x:t xml:space="preserve">IEEE Access</x:t>
        </x:is>
      </x:c>
      <x:c r="I53" s="4" t="inlineStr">
        <x:is>
          <x:t xml:space="preserve">https://doi.org/10.1109/ACCESS.2024.3416838</x:t>
        </x:is>
      </x:c>
      <x:c r="J53" s="11" t="n">
        <x:v>4</x:v>
      </x:c>
      <x:c r="K53" s="11" t="inlineStr">
        <x:is>
          <x:t xml:space="preserve">Técnica; método; limitação</x:t>
        </x:is>
      </x:c>
      <x:c r="L53" s="11" t="inlineStr">
        <x:is>
          <x:t xml:space="preserve">Referencial teórico; metodologia; modelagem futura</x:t>
        </x:is>
      </x:c>
      <x:c r="M53" s="11" t="inlineStr">
        <x:is>
          <x:t xml:space="preserve">Muito útil para fundamentar modelos baseados em árvores, como árvores de decisão, Random Forest, Gradient Boosting, ExtraTrees e modelos interpretáveis de importância de atributos.</x:t>
        </x:is>
      </x:c>
      <x:c r="N53" s="11" t="inlineStr">
        <x:is>
          <x:t xml:space="preserve">O artigo destaca simplicidade, interpretabilidade, capacidade de lidar com variáveis numéricas e categóricas, uso em regressão/classificação, feature selection e importância de atributos. Também aponta riscos com dados ausentes, alta dimensionalidade e sobreajuste.</x:t>
        </x:is>
      </x:c>
      <x:c r="O53" s="11" t="inlineStr">
        <x:is>
          <x:t xml:space="preserve">Árvores e ensembles são adequados para explorar interações entre reservas, calendário, clima e cardápio, mas exigem cuidado com missing data, profundidade da árvore, seleção de atributos e validação.</x:t>
        </x:is>
      </x:c>
      <x:c r="P53" s="11" t="inlineStr">
        <x:is>
          <x:t xml:space="preserve">Modelos baseados em árvores são candidatos naturais para a previsão de demanda por combinarem flexibilidade não linear, interpretação relativa de atributos e boa adaptação a variáveis operacionais heterogêneas.</x:t>
        </x:is>
      </x:c>
      <x:c r="Q53" s="11" t="inlineStr">
        <x:is>
          <x:t xml:space="preserve">É uma revisão geral, não específica de previsão de demanda alimentar. Não comprova superioridade no seu caso; apenas fundamenta a escolha da família de modelos.</x:t>
        </x:is>
      </x:c>
      <x:c r="R53" s="11" t="inlineStr">
        <x:is>
          <x:t xml:space="preserve">Aproveitar fortemente</x:t>
        </x:is>
      </x:c>
    </x:row>
    <x:row r="54" s="12" customFormat="1" ht="22.5" customHeight="1">
      <x:c r="A54" s="7" t="inlineStr">
        <x:is>
          <x:t xml:space="preserve">A054</x:t>
        </x:is>
      </x:c>
      <x:c r="B54" s="4" t="inlineStr">
        <x:is>
          <x:t xml:space="preserve">https://drive.google.com/file/d/1P18S9ObBdn16Nck79SCu7lpdP3K378Rb/view?usp=drive_link</x:t>
        </x:is>
      </x:c>
      <x:c r="C54" s="11" t="inlineStr">
        <x:is>
          <x:t xml:space="preserve">Atenção é tudo de que você precisa</x:t>
        </x:is>
      </x:c>
      <x:c r="D54" s="11" t="inlineStr">
        <x:is>
          <x:t xml:space="preserve">Attention Is All You Need</x:t>
        </x:is>
      </x:c>
      <x:c r="E54" s="11" t="n">
        <x:v>2017</x:v>
      </x:c>
      <x:c r="F54" s="11" t="inlineStr">
        <x:is>
          <x:t xml:space="preserve">Ashish Vaswani; Noam Shazeer; Niki Parmar; Jakob Uszkoreit; Llion Jones; Aidan N. Gomez; Łukasz Kaiser; Illia Polosukhin</x:t>
        </x:is>
      </x:c>
      <x:c r="G54" s="11" t="inlineStr">
        <x:is>
          <x:t xml:space="preserve">Artigo técnico/conferência</x:t>
        </x:is>
      </x:c>
      <x:c r="H54" s="11" t="inlineStr">
        <x:is>
          <x:t xml:space="preserve">NeurIPS 2017</x:t>
        </x:is>
      </x:c>
      <x:c r="I54" s="11" t="inlineStr">
        <x:is>
          <x:t xml:space="preserve">arXiv:1706.03762</x:t>
        </x:is>
      </x:c>
      <x:c r="J54" s="11" t="n">
        <x:v>4</x:v>
      </x:c>
      <x:c r="K54" s="11" t="inlineStr">
        <x:is>
          <x:t xml:space="preserve">Técnica; NLP; representação textual</x:t>
        </x:is>
      </x:c>
      <x:c r="L54" s="11" t="inlineStr">
        <x:is>
          <x:t xml:space="preserve">Referencial teórico; metodologia</x:t>
        </x:is>
      </x:c>
      <x:c r="M54" s="11" t="inlineStr">
        <x:is>
          <x:t xml:space="preserve">Fundamenta a arquitetura Transformer, que é a base conceitual do BERT usado no projeto para representação semântica exploratória do cardápio.</x:t>
        </x:is>
      </x:c>
      <x:c r="N54" s="11" t="inlineStr">
        <x:is>
          <x:t xml:space="preserve">Introduz o Transformer baseado em mecanismos de atenção, substituindo recorrência e convoluções; destaca paralelização, self-attention, multi-head attention e positional encoding.</x:t>
        </x:is>
      </x:c>
      <x:c r="O54" s="11" t="inlineStr">
        <x:is>
          <x:t xml:space="preserve">Pode sustentar, de forma breve, por que BERT pertence à família de modelos baseados em atenção e por que embeddings contextuais são possíveis.</x:t>
        </x:is>
      </x:c>
      <x:c r="P54" s="11" t="inlineStr">
        <x:is>
          <x:t xml:space="preserve">Modelos baseados em Transformer representam sequências por mecanismos de atenção, permitindo capturar dependências entre termos sem recorrer a arquiteturas recorrentes tradicionais.</x:t>
        </x:is>
      </x:c>
      <x:c r="Q54" s="11" t="inlineStr">
        <x:is>
          <x:t xml:space="preserve">Não trata alimentação, previsão de demanda ou desperdício. Usar apenas para fundamentar tecnicamente BERT/Transformers.</x:t>
        </x:is>
      </x:c>
      <x:c r="R54" s="11" t="inlineStr">
        <x:is>
          <x:t xml:space="preserve">Aproveitar parcialmente</x:t>
        </x:is>
      </x:c>
    </x:row>
    <x:row r="55" s="12" customFormat="1" ht="22.5" customHeight="1">
      <x:c r="A55" s="7" t="inlineStr">
        <x:is>
          <x:t xml:space="preserve">A055</x:t>
        </x:is>
      </x:c>
      <x:c r="B55" s="4" t="inlineStr">
        <x:is>
          <x:t xml:space="preserve">https://drive.google.com/file/d/1yaIOACKlMuRQkhW0IlnjlQL9PjBmM516/view?usp=drive_link</x:t>
        </x:is>
      </x:c>
      <x:c r="C55" s="11" t="inlineStr">
        <x:is>
          <x:t xml:space="preserve">BERT: pré-treinamento de Transformers bidirecionais profundos para compreensão de linguagem</x:t>
        </x:is>
      </x:c>
      <x:c r="D55" s="11" t="inlineStr">
        <x:is>
          <x:t xml:space="preserve">BERT: Pre-training of Deep Bidirectional Transformers for Language Understanding</x:t>
        </x:is>
      </x:c>
      <x:c r="E55" s="11" t="n">
        <x:v>2018</x:v>
      </x:c>
      <x:c r="F55" s="11" t="inlineStr">
        <x:is>
          <x:t xml:space="preserve">Jacob Devlin; Ming-Wei Chang; Kenton Lee; Kristina Toutanova</x:t>
        </x:is>
      </x:c>
      <x:c r="G55" s="11" t="inlineStr">
        <x:is>
          <x:t xml:space="preserve">Artigo técnico/conferência</x:t>
        </x:is>
      </x:c>
      <x:c r="H55" s="11" t="inlineStr">
        <x:is>
          <x:t xml:space="preserve">NAACL-HLT 2019 / arXiv</x:t>
        </x:is>
      </x:c>
      <x:c r="I55" s="11" t="inlineStr">
        <x:is>
          <x:t xml:space="preserve">arXiv:1810.04805</x:t>
        </x:is>
      </x:c>
      <x:c r="J55" s="11" t="n">
        <x:v>4</x:v>
      </x:c>
      <x:c r="K55" s="11" t="inlineStr">
        <x:is>
          <x:t xml:space="preserve">Técnica; NLP; engenharia de atributos</x:t>
        </x:is>
      </x:c>
      <x:c r="L55" s="11" t="inlineStr">
        <x:is>
          <x:t xml:space="preserve">Referencial teórico; metodologia; trabalhos futuros</x:t>
        </x:is>
      </x:c>
      <x:c r="M55" s="11" t="inlineStr">
        <x:is>
          <x:t xml:space="preserve">É a principal referência para justificar o uso exploratório de BERT na representação textual do cardápio.</x:t>
        </x:is>
      </x:c>
      <x:c r="N55" s="11" t="inlineStr">
        <x:is>
          <x:t xml:space="preserve">Apresenta BERT como modelo bidirecional baseado em Transformer, pré-treinado com masked language modeling e ajustável para várias tarefas de NLP; gera representações contextuais densas.</x:t>
        </x:is>
      </x:c>
      <x:c r="O55" s="11" t="inlineStr">
        <x:is>
          <x:t xml:space="preserve">Pode sustentar que descrições textuais de cardápio podem ser transformadas em vetores numéricos contextuais, sem afirmar previamente ganho preditivo.</x:t>
        </x:is>
      </x:c>
      <x:c r="P55" s="11" t="inlineStr">
        <x:is>
          <x:t xml:space="preserve">O BERT permite representar textos por embeddings contextuais bidirecionais, o que viabiliza testar se descrições de cardápio carregam informação adicional às categorias manuais.</x:t>
        </x:is>
      </x:c>
      <x:c r="Q55" s="11" t="inlineStr">
        <x:is>
          <x:t xml:space="preserve">Não deve ser usado para afirmar que BERT melhora a previsão no seu caso; no projeto ele é hipótese exploratória e precisa ser validado empiricamente.</x:t>
        </x:is>
      </x:c>
      <x:c r="R55" s="11" t="inlineStr">
        <x:is>
          <x:t xml:space="preserve">Aproveitar parcialmente</x:t>
        </x:is>
      </x:c>
    </x:row>
    <x:row r="56" s="12" customFormat="1" ht="22.5" customHeight="1">
      <x:c r="A56" s="7" t="inlineStr">
        <x:is>
          <x:t xml:space="preserve">A056</x:t>
        </x:is>
      </x:c>
      <x:c r="B56" s="4" t="inlineStr">
        <x:is>
          <x:t xml:space="preserve">https://drive.google.com/file/d/12TKI1fBTWN1SqnlPmjpJqFNF_uqjaDeu/view?usp=drive_link</x:t>
        </x:is>
      </x:c>
      <x:c r="C56" s="11" t="inlineStr">
        <x:is>
          <x:t xml:space="preserve">CatBoost: gradient boosting com suporte a variáveis categóricas</x:t>
        </x:is>
      </x:c>
      <x:c r="D56" s="11" t="inlineStr">
        <x:is>
          <x:t xml:space="preserve">CatBoost: gradient boosting with categorical features support</x:t>
        </x:is>
      </x:c>
      <x:c r="E56" s="11" t="n">
        <x:v>2018</x:v>
      </x:c>
      <x:c r="F56" s="11" t="inlineStr">
        <x:is>
          <x:t xml:space="preserve">Anna Veronika Dorogush; Vasily Ershov; Andrey Gulin</x:t>
        </x:is>
      </x:c>
      <x:c r="G56" s="11" t="inlineStr">
        <x:is>
          <x:t xml:space="preserve">Artigo técnico</x:t>
        </x:is>
      </x:c>
      <x:c r="H56" s="11" t="inlineStr">
        <x:is>
          <x:t xml:space="preserve">arXiv / Yandex</x:t>
        </x:is>
      </x:c>
      <x:c r="I56" s="11" t="inlineStr">
        <x:is>
          <x:t xml:space="preserve">arXiv:1810.11363</x:t>
        </x:is>
      </x:c>
      <x:c r="J56" s="11" t="n">
        <x:v>4</x:v>
      </x:c>
      <x:c r="K56" s="11" t="inlineStr">
        <x:is>
          <x:t xml:space="preserve">Técnica; comparação; modelos de árvores</x:t>
        </x:is>
      </x:c>
      <x:c r="L56" s="11" t="inlineStr">
        <x:is>
          <x:t xml:space="preserve">Referencial teórico; metodologia; modelagem</x:t>
        </x:is>
      </x:c>
      <x:c r="M56" s="11" t="inlineStr">
        <x:is>
          <x:t xml:space="preserve">Fundamenta o uso ou comparação de CatBoost em modelos preditivos, especialmente porque o projeto possui variáveis categóricas de calendário e cardápio.</x:t>
        </x:is>
      </x:c>
      <x:c r="N56" s="11" t="inlineStr">
        <x:is>
          <x:t xml:space="preserve">Apresenta CatBoost como biblioteca de gradient boosting capaz de lidar com variáveis categóricas, reduzir sobreajuste em codificações e competir com XGBoost/LightGBM em qualidade e velocidade.</x:t>
        </x:is>
      </x:c>
      <x:c r="O56" s="11" t="inlineStr">
        <x:is>
          <x:t xml:space="preserve">Pode sustentar a escolha de testar CatBoost quando há cardápio, dia da semana, proteína, preparo e outras categorias.</x:t>
        </x:is>
      </x:c>
      <x:c r="P56" s="11" t="inlineStr">
        <x:is>
          <x:t xml:space="preserve">CatBoost é adequado para bases com atributos categóricos, pois incorpora estratégias específicas para tratar categorias durante o treinamento e reduzir riscos associados à codificação ingênua.</x:t>
        </x:is>
      </x:c>
      <x:c r="Q56" s="11" t="inlineStr">
        <x:is>
          <x:t xml:space="preserve">É artigo técnico de biblioteca, não aplicado a alimentação. Usar na metodologia/modelagem, não no problema alimentar.</x:t>
        </x:is>
      </x:c>
      <x:c r="R56" s="11" t="inlineStr">
        <x:is>
          <x:t xml:space="preserve">Aproveitar parcialmente</x:t>
        </x:is>
      </x:c>
    </x:row>
    <x:row r="57" s="12" customFormat="1" ht="22.5" customHeight="1">
      <x:c r="A57" s="7" t="inlineStr">
        <x:is>
          <x:t xml:space="preserve">A059</x:t>
        </x:is>
      </x:c>
      <x:c r="B57" s="4" t="inlineStr">
        <x:is>
          <x:t xml:space="preserve">https://drive.google.com/file/d/1u4aAgHEQY9JbeaQ4GESK2K1DObNLr27B/view?usp=sharing</x:t>
        </x:is>
      </x:c>
      <x:c r="C57" s="11" t="inlineStr">
        <x:is>
          <x:t xml:space="preserve">Analítica preditiva em pesquisa de sistemas de informação</x:t>
        </x:is>
      </x:c>
      <x:c r="D57" s="11" t="inlineStr">
        <x:is>
          <x:t xml:space="preserve">Predictive Analytics in Information Systems Research</x:t>
        </x:is>
      </x:c>
      <x:c r="E57" s="11" t="n">
        <x:v>2010</x:v>
      </x:c>
      <x:c r="F57" s="11" t="inlineStr">
        <x:is>
          <x:t xml:space="preserve">Galit Shmueli; Otto R. Koppius</x:t>
        </x:is>
      </x:c>
      <x:c r="G57" s="11" t="inlineStr">
        <x:is>
          <x:t xml:space="preserve">Working paper / artigo acadêmico</x:t>
        </x:is>
      </x:c>
      <x:c r="H57" s="11" t="inlineStr">
        <x:is>
          <x:t xml:space="preserve">Indian School of Business</x:t>
        </x:is>
      </x:c>
      <x:c r="I57" s="11" t="inlineStr">
        <x:is>
          <x:t xml:space="preserve">Não identificado</x:t>
        </x:is>
      </x:c>
      <x:c r="J57" s="11" t="n">
        <x:v>5</x:v>
      </x:c>
      <x:c r="K57" s="11" t="inlineStr">
        <x:is>
          <x:t xml:space="preserve">Fundamentação metodológica para previsão</x:t>
        </x:is>
      </x:c>
      <x:c r="L57" s="11" t="inlineStr">
        <x:is>
          <x:t xml:space="preserve">Referencial teórico; metodologia; avaliação dos modelos</x:t>
        </x:is>
      </x:c>
      <x:c r="M57" s="11" t="inlineStr">
        <x:is>
          <x:t xml:space="preserve">O artigo ajuda a diferenciar modelos explicativos de modelos preditivos. Essa distinção é central para a dissertação, pois o objetivo principal é prever demanda futura de refeições, e não afirmar causalidade direta entre atributos e consumo.</x:t>
        </x:is>
      </x:c>
      <x:c r="N57" s="11" t="inlineStr">
        <x:is>
          <x:t xml:space="preserve">Sustenta que poder explicativo e poder preditivo não são equivalentes. Defende que pesquisas em sistemas de informação também devem avaliar capacidade preditiva, generalização e utilidade prática.</x:t>
        </x:is>
      </x:c>
      <x:c r="O57" s="11" t="inlineStr">
        <x:is>
          <x:t xml:space="preserve">Usar para justificar a separação entre análise exploratória, interpretação de variáveis e avaliação preditiva. Também ajuda a explicar por que importância de atributos não deve ser tratada automaticamente como causalidade.</x:t>
        </x:is>
      </x:c>
      <x:c r="P57" s="11" t="inlineStr">
        <x:is>
          <x:t xml:space="preserve">Shmueli e Koppius (2010) destacam que poder explicativo e poder preditivo não são equivalentes, o que reforça a necessidade de avaliar modelos de demanda por sua capacidade de generalização e não apenas por interpretações causais aparentes.</x:t>
        </x:is>
      </x:c>
      <x:c r="Q57" s="11" t="inlineStr">
        <x:is>
          <x:t xml:space="preserve">É um working paper de 2010; verificar se há versão publicada ou forma definitiva antes da citação final.</x:t>
        </x:is>
      </x:c>
      <x:c r="R57" s="11" t="inlineStr">
        <x:is>
          <x:t xml:space="preserve">Aproveitar fortemente</x:t>
        </x:is>
      </x:c>
    </x:row>
    <x:row r="58" s="12" customFormat="1" ht="22.5" customHeight="1">
      <x:c r="A58" s="7" t="inlineStr">
        <x:is>
          <x:t xml:space="preserve">A058</x:t>
        </x:is>
      </x:c>
      <x:c r="B58" s="11" t="str">
        <x:f>E58&amp;"-"&amp;D58</x:f>
        <x:v>2013-On the Global Instability of Square and Cross Lid-Driven Cavity Flows with a Pure Streamfunction-Velocity Approach</x:v>
      </x:c>
      <x:c r="C58" s="11" t="inlineStr">
        <x:is>
          <x:t xml:space="preserve">Sobre a instabilidade global de escoamentos em cavidades quadradas e cruzadas</x:t>
        </x:is>
      </x:c>
      <x:c r="D58" s="11" t="inlineStr">
        <x:is>
          <x:t xml:space="preserve">On the Global Instability of Square and Cross Lid-Driven Cavity Flows with a Pure Streamfunction-Velocity Approach</x:t>
        </x:is>
      </x:c>
      <x:c r="E58" s="11" t="n">
        <x:v>2013</x:v>
      </x:c>
      <x:c r="F58" s="11" t="inlineStr">
        <x:is>
          <x:t xml:space="preserve">Bidyut B. Gogoi; Jiten C. Kalita</x:t>
        </x:is>
      </x:c>
      <x:c r="G58" s="11" t="inlineStr">
        <x:is>
          <x:t xml:space="preserve">Artigo de conferência</x:t>
        </x:is>
      </x:c>
      <x:c r="H58" s="11" t="inlineStr">
        <x:is>
          <x:t xml:space="preserve">International Conference on Computer Aided Engineering</x:t>
        </x:is>
      </x:c>
      <x:c r="I58" s="11" t="inlineStr">
        <x:is>
          <x:t xml:space="preserve">Não identificado</x:t>
        </x:is>
      </x:c>
      <x:c r="J58" s="11" t="n">
        <x:v>0</x:v>
      </x:c>
      <x:c r="K58" s="11" t="inlineStr">
        <x:is>
          <x:t xml:space="preserve">Não relacionado / arquivo incorreto</x:t>
        </x:is>
      </x:c>
      <x:c r="L58" s="11" t="inlineStr">
        <x:is>
          <x:t xml:space="preserve">Não usar</x:t>
        </x:is>
      </x:c>
      <x:c r="M58" s="11" t="inlineStr">
        <x:is>
          <x:t xml:space="preserve">O arquivo enviado com nome “Positioning and Presenting DSR...” não contém o artigo de Gregor e Hevner sobre DSR. O conteúdo extraído trata de escoamentos, equações de Navier-Stokes e instabilidade global.</x:t>
        </x:is>
      </x:c>
      <x:c r="N58" s="11" t="inlineStr">
        <x:is>
          <x:t xml:space="preserve">Nenhuma evidência aproveitável para o projeto.</x:t>
        </x:is>
      </x:c>
      <x:c r="O58" s="11" t="inlineStr">
        <x:is>
          <x:t xml:space="preserve">Registrar apenas como arquivo incorreto, caso seja necessário controlar o que foi analisado.</x:t>
        </x:is>
      </x:c>
      <x:c r="P58" s="11" t="inlineStr">
        <x:is>
          <x:t xml:space="preserve">Não utilizar na dissertação. Recomenda-se reenviar o arquivo correto de Gregor e Hevner (2013), caso ele deva entrar na matriz.</x:t>
        </x:is>
      </x:c>
      <x:c r="Q58" s="11" t="inlineStr">
        <x:is>
          <x:t xml:space="preserve">O nome do arquivo não corresponde ao conteúdo. Não deve ser citado como DSR.</x:t>
        </x:is>
      </x:c>
      <x:c r="R58" s="11" t="inlineStr">
        <x:is>
          <x:t xml:space="preserve">Não aproveitar, salvo apoio muito pontual</x:t>
        </x:is>
      </x:c>
    </x:row>
    <x:row r="59" s="12" customFormat="1" ht="22.5" customHeight="1">
      <x:c r="A59" s="7" t="inlineStr">
        <x:is>
          <x:t xml:space="preserve">A063</x:t>
        </x:is>
      </x:c>
      <x:c r="B59" s="4" t="inlineStr">
        <x:is>
          <x:t xml:space="preserve">https://drive.google.com/file/d/1C8YTOuvQiDFH2oydO7I9JO59DtvPGSJP/view?usp=drive_link</x:t>
        </x:is>
      </x:c>
      <x:c r="C59" s="11" t="inlineStr">
        <x:is>
          <x:t xml:space="preserve">Base analítica para previsão de demanda em restaurante escolar: desenvolvimento por Design Science Research, análise exploratória e engenharia de atributos</x:t>
        </x:is>
      </x:c>
      <x:c r="D59" s="11" t="inlineStr">
        <x:is>
          <x:t xml:space="preserve">Analytical Dataset for Demand Forecasting in a School Restaurant: Development through Design Science Research, Exploratory Analysis, and Feature Engineering</x:t>
        </x:is>
      </x:c>
      <x:c r="E59" s="11" t="inlineStr">
        <x:is>
          <x:t xml:space="preserve">2026 / submetido, aguardando avaliação</x:t>
        </x:is>
      </x:c>
      <x:c r="F59" s="11" t="inlineStr">
        <x:is>
          <x:t xml:space="preserve">Autoria própria; manter como AUTOR em versão cega, se necessário</x:t>
        </x:is>
      </x:c>
      <x:c r="G59" s="11" t="inlineStr">
        <x:is>
          <x:t xml:space="preserve">Artigo submetido a periódico</x:t>
        </x:is>
      </x:c>
      <x:c r="H59" s="11" t="inlineStr">
        <x:is>
          <x:t xml:space="preserve">Revista CAFI, conforme arquivo do projeto</x:t>
        </x:is>
      </x:c>
      <x:c r="I59" s="11" t="inlineStr">
        <x:is>
          <x:t xml:space="preserve">Ainda não se aplica</x:t>
        </x:is>
      </x:c>
      <x:c r="J59" s="11" t="n">
        <x:v>5</x:v>
      </x:c>
      <x:c r="K59" s="11" t="inlineStr">
        <x:is>
          <x:t xml:space="preserve">Produção própria diretamente derivada da dissertação</x:t>
        </x:is>
      </x:c>
      <x:c r="L59" s="11" t="inlineStr">
        <x:is>
          <x:t xml:space="preserve">Introdução; trajetória da pesquisa; metodologia; construção do artefato; EDA; engenharia de atributos; trabalhos futuros</x:t>
        </x:is>
      </x:c>
      <x:c r="M59" s="11" t="inlineStr">
        <x:is>
          <x:t xml:space="preserve">O artigo sintetiza o estágio atual do projeto: construção de uma base analítica para previsão de demanda em restaurante escolar, organizada em camadas Bronze, Silver e Gold, com integração de reservas, consumo, cardápio, calendário e clima. Também documenta a EDA, a criação de atributos, o uso exploratório de BERT/PCA e a preparação das bases para modelagem futura.</x:t>
        </x:is>
      </x:c>
      <x:c r="N59" s="11" t="inlineStr">
        <x:is>
          <x:t xml:space="preserve">Preserva os números atualizados do pipeline: 84.453 reservas, 66.869 consumos, 1.095 cardápios, 1.096 observações de calendário e clima, Gold com 548 registros modeláveis e 140 atributos, além de uma Gold semântica com 44 componentes BERT/PCA preservando cerca de 95,16% da variância.</x:t>
        </x:is>
      </x:c>
      <x:c r="O59" s="11" t="inlineStr">
        <x:is>
          <x:t xml:space="preserve">Usar como referência interna da evolução da dissertação, especialmente para descrever o artefato de dados, a separação entre observado/estimado/modelagem, a justificativa das camadas Bronze-Silver-Gold e a EDA como avaliação inicial em DSR.</x:t>
        </x:is>
      </x:c>
      <x:c r="P59" s="11" t="inlineStr">
        <x:is>
          <x:t xml:space="preserve">Em estudo submetido a periódico, AUTOR (2026) apresenta a construção de uma base analítica rastreável para previsão de demanda em restaurante escolar, demonstrando como a análise exploratória e a engenharia de atributos podem funcionar como etapa inicial de avaliação de um artefato orientado por Design Science Research.</x:t>
        </x:is>
      </x:c>
      <x:c r="Q59" s="11" t="inlineStr">
        <x:is>
          <x:t xml:space="preserve">Como o artigo ainda está em avaliação, evitar tratá-lo como publicação aceita. Em texto submetido às cegas, usar “AUTOR (2026)” ou omitir autoria conforme regra da revista/dissertação. Também é produção própria, portanto deve ser usado para trajetória e continuidade da pesquisa, não como evidência externa independente.</x:t>
        </x:is>
      </x:c>
      <x:c r="R59" s="11" t="inlineStr">
        <x:is>
          <x:t xml:space="preserve">Aproveitar fortemente</x:t>
        </x:is>
      </x:c>
    </x:row>
    <x:row r="60" s="12" customFormat="1" ht="22.5" customHeight="1">
      <x:c r="A60" s="7" t="inlineStr">
        <x:is>
          <x:t xml:space="preserve">A060</x:t>
        </x:is>
      </x:c>
      <x:c r="B60" s="4" t="inlineStr">
        <x:is>
          <x:t xml:space="preserve">https://drive.google.com/file/d/13XVURlhFQtmY_yyjXcwBxAnLvYf9FH40/view?usp=drive_link</x:t>
        </x:is>
      </x:c>
      <x:c r="C60" s="11" t="inlineStr">
        <x:is>
          <x:t xml:space="preserve">RMSE ou MAE? Argumentos contra evitar RMSE na literatura</x:t>
        </x:is>
      </x:c>
      <x:c r="D60" s="11" t="inlineStr">
        <x:is>
          <x:t xml:space="preserve">Root Mean Square Error (RMSE) or Mean Absolute Error (MAE)? Arguments Against Avoiding RMSE in the Literature</x:t>
        </x:is>
      </x:c>
      <x:c r="E60" s="11" t="n">
        <x:v>2014</x:v>
      </x:c>
      <x:c r="F60" s="11" t="inlineStr">
        <x:is>
          <x:t xml:space="preserve">Tianfeng Chai; Roland R. Draxler</x:t>
        </x:is>
      </x:c>
      <x:c r="G60" s="11" t="inlineStr">
        <x:is>
          <x:t xml:space="preserve">Artigo metodológico</x:t>
        </x:is>
      </x:c>
      <x:c r="H60" s="11" t="inlineStr">
        <x:is>
          <x:t xml:space="preserve">Geoscientific Model Development</x:t>
        </x:is>
      </x:c>
      <x:c r="I60" s="11" t="inlineStr">
        <x:is>
          <x:t xml:space="preserve">10.5194/gmd-7-1247-2014</x:t>
        </x:is>
      </x:c>
      <x:c r="J60" s="11" t="n">
        <x:v>4</x:v>
      </x:c>
      <x:c r="K60" s="11" t="inlineStr">
        <x:is>
          <x:t xml:space="preserve">Métricas de avaliação</x:t>
        </x:is>
      </x:c>
      <x:c r="L60" s="11" t="inlineStr">
        <x:is>
          <x:t xml:space="preserve">Metodologia; avaliação dos modelos; discussão dos resultados</x:t>
        </x:is>
      </x:c>
      <x:c r="M60" s="11" t="inlineStr">
        <x:is>
          <x:t xml:space="preserve">O artigo fundamenta o uso conjunto de métricas de erro. No projeto, isso é importante porque erros médios, erros grandes, falta de refeições e sobra de produção têm implicações operacionais diferentes.</x:t>
        </x:is>
      </x:c>
      <x:c r="N60" s="11" t="inlineStr">
        <x:is>
          <x:t xml:space="preserve">MAE expressa erro absoluto médio de forma direta. RMSE penaliza mais fortemente erros grandes. A escolha da métrica deve considerar o comportamento esperado dos erros e o objetivo da avaliação.</x:t>
        </x:is>
      </x:c>
      <x:c r="O60" s="11" t="inlineStr">
        <x:is>
          <x:t xml:space="preserve">Usar na seção de avaliação dos modelos para justificar por que MAE e RMSE podem ser apresentados em conjunto, e por que métricas operacionais adicionais, como falta e sobra, também são necessárias.</x:t>
        </x:is>
      </x:c>
      <x:c r="P60" s="11" t="inlineStr">
        <x:is>
          <x:t xml:space="preserve">A avaliação dos modelos deve considerar métricas complementares, pois MAE e RMSE expressam sensibilidades distintas aos erros de previsão, especialmente quando grandes desvios têm impacto operacional relevante.</x:t>
        </x:is>
      </x:c>
      <x:c r="Q60" s="11" t="inlineStr">
        <x:is>
          <x:t xml:space="preserve">O contexto original é geociências, não alimentação escolar. A aplicação ao projeto deve ser feita como referência metodológica geral sobre métricas.</x:t>
        </x:is>
      </x:c>
      <x:c r="R60" s="11" t="inlineStr">
        <x:is>
          <x:t xml:space="preserve">Aproveitar parcialmente</x:t>
        </x:is>
      </x:c>
    </x:row>
    <x:row r="61" s="12" customFormat="1" ht="22.5" customHeight="1">
      <x:c r="A61" s="7" t="inlineStr">
        <x:is>
          <x:t xml:space="preserve">A061</x:t>
        </x:is>
      </x:c>
      <x:c r="B61" s="4" t="inlineStr">
        <x:is>
          <x:t xml:space="preserve">https://drive.google.com/file/d/1E6LT6FCpYZoCgGIIuUUZ-kO6NPRK7ke_/view?usp=drive_link</x:t>
        </x:is>
      </x:c>
      <x:c r="C61" s="11" t="inlineStr">
        <x:is>
          <x:t xml:space="preserve">As ciências do artificial</x:t>
        </x:is>
      </x:c>
      <x:c r="D61" s="11" t="inlineStr">
        <x:is>
          <x:t xml:space="preserve">The Sciences of the Artificial</x:t>
        </x:is>
      </x:c>
      <x:c r="E61" s="11" t="n">
        <x:v>1996</x:v>
      </x:c>
      <x:c r="F61" s="11" t="inlineStr">
        <x:is>
          <x:t xml:space="preserve">Herbert A. Simon</x:t>
        </x:is>
      </x:c>
      <x:c r="G61" s="11" t="inlineStr">
        <x:is>
          <x:t xml:space="preserve">Livro</x:t>
        </x:is>
      </x:c>
      <x:c r="H61" s="11" t="inlineStr">
        <x:is>
          <x:t xml:space="preserve">MIT Press</x:t>
        </x:is>
      </x:c>
      <x:c r="I61" s="11" t="inlineStr">
        <x:is>
          <x:t xml:space="preserve">Não se aplica</x:t>
        </x:is>
      </x:c>
      <x:c r="J61" s="11" t="n">
        <x:v>4</x:v>
      </x:c>
      <x:c r="K61" s="11" t="inlineStr">
        <x:is>
          <x:t xml:space="preserve">Base conceitual para artefatos e design</x:t>
        </x:is>
      </x:c>
      <x:c r="L61" s="11" t="inlineStr">
        <x:is>
          <x:t xml:space="preserve">Referencial teórico; metodologia DSR</x:t>
        </x:is>
      </x:c>
      <x:c r="M61" s="11" t="inlineStr">
        <x:is>
          <x:t xml:space="preserve">A obra sustenta a ideia de que a pesquisa pode construir artefatos voltados à solução de problemas reais. No projeto, o pipeline Bronze-Silver-Gold e as bases analíticas podem ser compreendidos como artefatos projetados para apoiar decisão operacional.</x:t>
        </x:is>
      </x:c>
      <x:c r="N61" s="11" t="inlineStr">
        <x:is>
          <x:t xml:space="preserve">Fundamenta a ciência do artificial, a criação de artefatos e o design como atividade orientada a objetivos. Ajuda a posicionar o projeto como construção de uma solução informacional, não apenas análise descritiva.</x:t>
        </x:is>
      </x:c>
      <x:c r="O61" s="11" t="inlineStr">
        <x:is>
          <x:t xml:space="preserve">Usar para reforçar a base conceitual da DSR, especialmente quando a dissertação explicar que o artefato não é apenas o modelo final, mas também o fluxo de dados rastreável que torna a modelagem possível.</x:t>
        </x:is>
      </x:c>
      <x:c r="P61" s="11" t="inlineStr">
        <x:is>
          <x:t xml:space="preserve">A construção de bases analíticas pode ser compreendida como um artefato orientado a objetivos, alinhado à tradição das ciências do artificial proposta por Simon (1996).</x:t>
        </x:is>
      </x:c>
      <x:c r="Q61" s="11" t="inlineStr">
        <x:is>
          <x:t xml:space="preserve">É uma obra clássica e ampla. Deve ser usada para fundamentação conceitual, não para justificar detalhes técnicos do pipeline ou dos algoritmos.</x:t>
        </x:is>
      </x:c>
      <x:c r="R61" s="11" t="inlineStr">
        <x:is>
          <x:t xml:space="preserve">Aproveitar parcialmente</x:t>
        </x:is>
      </x:c>
    </x:row>
    <x:row r="62" s="12" customFormat="1" ht="22.5" customHeight="1">
      <x:c r="A62" s="7" t="inlineStr">
        <x:is>
          <x:t xml:space="preserve">A062</x:t>
        </x:is>
      </x:c>
      <x:c r="B62" s="4" t="inlineStr">
        <x:is>
          <x:t xml:space="preserve">https://drive.google.com/file/d/1sMmzjf9XcElouJRFG3OY25d5bkgy3N4S/view?usp=drive_link</x:t>
        </x:is>
      </x:c>
      <x:c r="C62" s="11" t="inlineStr">
        <x:is>
          <x:t xml:space="preserve">XGBoost: um sistema escalável de árvores com boosting</x:t>
        </x:is>
      </x:c>
      <x:c r="D62" s="11" t="inlineStr">
        <x:is>
          <x:t xml:space="preserve">XGBoost: A Scalable Tree Boosting System</x:t>
        </x:is>
      </x:c>
      <x:c r="E62" s="11" t="n">
        <x:v>2016</x:v>
      </x:c>
      <x:c r="F62" s="11" t="inlineStr">
        <x:is>
          <x:t xml:space="preserve">Tianqi Chen; Carlos Guestrin</x:t>
        </x:is>
      </x:c>
      <x:c r="G62" s="11" t="inlineStr">
        <x:is>
          <x:t xml:space="preserve">Artigo de conferência</x:t>
        </x:is>
      </x:c>
      <x:c r="H62" s="11" t="inlineStr">
        <x:is>
          <x:t xml:space="preserve">KDD 2016</x:t>
        </x:is>
      </x:c>
      <x:c r="I62" s="11" t="inlineStr">
        <x:is>
          <x:t xml:space="preserve">10.1145/2939672.2939785</x:t>
        </x:is>
      </x:c>
      <x:c r="J62" s="11" t="n">
        <x:v>4</x:v>
      </x:c>
      <x:c r="K62" s="11" t="inlineStr">
        <x:is>
          <x:t xml:space="preserve">Técnica de modelagem preditiva</x:t>
        </x:is>
      </x:c>
      <x:c r="L62" s="11" t="inlineStr">
        <x:is>
          <x:t xml:space="preserve">Referencial técnico; metodologia de modelagem; comparação de algoritmos</x:t>
        </x:is>
      </x:c>
      <x:c r="M62" s="11" t="inlineStr">
        <x:is>
          <x:t xml:space="preserve">O artigo fundamenta o uso de XGBoost como modelo candidato para previsão de demanda. É especialmente útil porque o projeto trabalha com base tabular, variáveis heterogêneas, defasagens, calendário, clima, reservas e cardápio.</x:t>
        </x:is>
      </x:c>
      <x:c r="N62" s="11" t="inlineStr">
        <x:is>
          <x:t xml:space="preserve">XGBoost é um sistema escalável de boosting com árvores, adequado para relações não lineares, interações entre variáveis e dados tabulares. O artigo também destaca eficiência computacional e regularização.</x:t>
        </x:is>
      </x:c>
      <x:c r="O62" s="11" t="inlineStr">
        <x:is>
          <x:t xml:space="preserve">Usar para justificar a inclusão de XGBoost entre os modelos de aprendizado de máquina, especialmente na comparação com Random Forest, ExtraTrees, CatBoost, LightGBM e modelos lineares.</x:t>
        </x:is>
      </x:c>
      <x:c r="P62" s="11" t="inlineStr">
        <x:is>
          <x:t xml:space="preserve">Modelos baseados em boosting, como o XGBoost, são adequados para explorar relações não lineares e interações em bases tabulares, sendo candidatos relevantes para previsão de demanda em contextos operacionais.</x:t>
        </x:is>
      </x:c>
      <x:c r="Q62" s="11" t="inlineStr">
        <x:is>
          <x:t xml:space="preserve">Não é específico de alimentação escolar. Deve ser citado como fundamento técnico do algoritmo, não como evidência direta de redução de desperdício.</x:t>
        </x:is>
      </x:c>
      <x:c r="R62" s="11" t="inlineStr">
        <x:is>
          <x:t xml:space="preserve">Aproveitar parcialmente</x:t>
        </x:is>
      </x:c>
    </x:row>
    <x:row r="63" s="12" customFormat="1" ht="22.5" customHeight="1">
      <x:c r="A63" s="7" t="inlineStr">
        <x:is>
          <x:t xml:space="preserve">A057</x:t>
        </x:is>
      </x:c>
      <x:c r="B63" s="4" t="inlineStr">
        <x:is>
          <x:t xml:space="preserve">https://drive.google.com/file/d/1E69H156p4xFUU5p-KMED_FD45CNwxyPT/view?usp=sharing</x:t>
        </x:is>
      </x:c>
      <x:c r="C63" s="11" t="inlineStr">
        <x:is>
          <x:t xml:space="preserve">Design Science em pesquisa de Sistemas de Informação</x:t>
        </x:is>
      </x:c>
      <x:c r="D63" s="11" t="inlineStr">
        <x:is>
          <x:t xml:space="preserve">Design Science in Information Systems Research</x:t>
        </x:is>
      </x:c>
      <x:c r="E63" s="11" t="n">
        <x:v>2004</x:v>
      </x:c>
      <x:c r="F63" s="11" t="inlineStr">
        <x:is>
          <x:t xml:space="preserve">Alan R. Hevner; Salvatore T. March; Jinsoo Park; Sudha Ram</x:t>
        </x:is>
      </x:c>
      <x:c r="G63" s="11" t="inlineStr">
        <x:is>
          <x:t xml:space="preserve">Artigo metodológico</x:t>
        </x:is>
      </x:c>
      <x:c r="H63" s="11" t="inlineStr">
        <x:is>
          <x:t xml:space="preserve">MIS Quarterly</x:t>
        </x:is>
      </x:c>
      <x:c r="I63" s="11" t="inlineStr">
        <x:is>
          <x:t xml:space="preserve">10.2307/25148625</x:t>
        </x:is>
      </x:c>
      <x:c r="J63" s="11" t="n">
        <x:v>5</x:v>
      </x:c>
      <x:c r="K63" s="11" t="inlineStr">
        <x:is>
          <x:t xml:space="preserve">Método; DSR; rigor; avaliação</x:t>
        </x:is>
      </x:c>
      <x:c r="L63" s="11" t="inlineStr">
        <x:is>
          <x:t xml:space="preserve">Introdução; metodologia; conclusão</x:t>
        </x:is>
      </x:c>
      <x:c r="M63" s="11" t="inlineStr">
        <x:is>
          <x:t xml:space="preserve">Referência fundacional para justificar a dissertação como desenvolvimento e avaliação de artefato: pipeline, base Silver/Gold, notebooks, modelos e critérios de avaliação.</x:t>
        </x:is>
      </x:c>
      <x:c r="N63" s="11" t="inlineStr">
        <x:is>
          <x:t xml:space="preserve">Define design science como paradigma de construção e avaliação de artefatos; apresenta sete diretrizes: artefato, relevância do problema, avaliação, contribuição, rigor, busca e comunicação.</x:t>
        </x:is>
      </x:c>
      <x:c r="O63" s="11" t="inlineStr">
        <x:is>
          <x:t xml:space="preserve">Pode sustentar rigor, relevância, construção do artefato e avaliação por desempenho, utilidade e aderência ao problema operacional.</x:t>
        </x:is>
      </x:c>
      <x:c r="P63" s="11" t="inlineStr">
        <x:is>
          <x:t xml:space="preserve">Em DSR, conhecimento sobre o problema e sua solução é produzido pela construção e avaliação rigorosa de um artefato voltado a uma necessidade relevante.</x:t>
        </x:is>
      </x:c>
      <x:c r="Q63" s="11" t="inlineStr">
        <x:is>
          <x:t xml:space="preserve">Embora seja anterior a 2020, é referência clássica/fundacional e deve permanecer no referencial metodológico.</x:t>
        </x:is>
      </x:c>
      <x:c r="R63" s="11" t="inlineStr">
        <x:is>
          <x:t xml:space="preserve">Aproveitar fortemente</x:t>
        </x:is>
      </x:c>
    </x:row>
    <x:row r="64" s="12" customFormat="1" ht="22.5" customHeight="1">
      <x:c r="A64" s="7" t="inlineStr">
        <x:is>
          <x:t xml:space="preserve">A064</x:t>
        </x:is>
      </x:c>
      <x:c r="B64" s="4" t="inlineStr">
        <x:is>
          <x:t xml:space="preserve">https://drive.google.com/file/d/1v0SQGoei2e2pNPC6XS1g_gHgijPI5qne/view?usp=drive_link</x:t>
        </x:is>
      </x:c>
      <x:c r="C64" s="11" t="inlineStr">
        <x:is>
          <x:t xml:space="preserve">Agricultura sustentável com soluções de aprendizado de máquina para minimizar o desperdício de alimentos</x:t>
        </x:is>
      </x:c>
      <x:c r="D64" s="11" t="inlineStr">
        <x:is>
          <x:t xml:space="preserve">Sustainable farming with machine learning solutions for minimizing food waste</x:t>
        </x:is>
      </x:c>
      <x:c r="E64" s="11" t="n">
        <x:v>2025</x:v>
      </x:c>
      <x:c r="F64" s="11" t="inlineStr">
        <x:is>
          <x:t xml:space="preserve">Rukayat Abisola Olawale; Mattew A. Olawumi; Bankole I. Oladapo</x:t>
        </x:is>
      </x:c>
      <x:c r="G64" s="11" t="inlineStr">
        <x:is>
          <x:t xml:space="preserve">Artigo científico</x:t>
        </x:is>
      </x:c>
      <x:c r="H64" s="11" t="inlineStr">
        <x:is>
          <x:t xml:space="preserve">Journal of Stored Products Research</x:t>
        </x:is>
      </x:c>
      <x:c r="I64" s="11" t="inlineStr">
        <x:is>
          <x:t xml:space="preserve">10.1016/j.jspr.2025.102611</x:t>
        </x:is>
      </x:c>
      <x:c r="J64" s="11" t="n">
        <x:v>3</x:v>
      </x:c>
      <x:c r="K64" s="11" t="inlineStr">
        <x:is>
          <x:t xml:space="preserve">Contexto; técnica; trabalhos futuros</x:t>
        </x:is>
      </x:c>
      <x:c r="L64" s="11" t="inlineStr">
        <x:is>
          <x:t xml:space="preserve">Referencial teórico; trabalhos futuros</x:t>
        </x:is>
      </x:c>
      <x:c r="M64" s="11" t="inlineStr">
        <x:is>
          <x:t xml:space="preserve">O artigo conecta IA, aprendizado de máquina, redução de perdas pós-colheita e eficiência da cadeia de suprimentos. Embora esteja focado em agricultura e perdas pós-colheita, reforça a ideia de que previsão, logística e monitoramento podem reduzir desperdício alimentar.</x:t>
        </x:is>
      </x:c>
      <x:c r="N64" s="11" t="inlineStr">
        <x:is>
          <x:t xml:space="preserve">O estudo relata redução de perdas com armazenamento frio orientado por IA, otimização logística por ML e necessidade de refinar algoritmos para lidar com volatilidade de mercado. Também aponta aplicações futuras em logística adaptativa, rastreabilidade e previsão de demanda.</x:t>
        </x:is>
      </x:c>
      <x:c r="O64" s="11" t="inlineStr">
        <x:is>
          <x:t xml:space="preserve">Pode ser usado para contextualizar o desperdício alimentar como problema de cadeia e para sustentar que previsão de demanda é parte de um ecossistema maior de gestão de perdas.</x:t>
        </x:is>
      </x:c>
      <x:c r="P64" s="11" t="inlineStr">
        <x:is>
          <x:t xml:space="preserve">A literatura recente indica que soluções de IA e aprendizado de máquina podem atuar em diferentes pontos da cadeia alimentar, desde armazenamento e logística até previsão de demanda, contribuindo para reduzir perdas e melhorar a sustentabilidade operacional.</x:t>
        </x:is>
      </x:c>
      <x:c r="Q64" s="11" t="inlineStr">
        <x:is>
          <x:t xml:space="preserve">O contexto é agricultura e pós-colheita, não restaurante escolar. Não deve ser usado como evidência direta de desempenho em alimentação escolar.</x:t>
        </x:is>
      </x:c>
      <x:c r="R64" s="11" t="inlineStr">
        <x:is>
          <x:t xml:space="preserve">Apoio pontual</x:t>
        </x:is>
      </x:c>
    </x:row>
    <x:row r="65" s="12" customFormat="1" ht="22.5" customHeight="1">
      <x:c r="A65" s="7" t="inlineStr">
        <x:is>
          <x:t xml:space="preserve">A065</x:t>
        </x:is>
      </x:c>
      <x:c r="B65" s="4" t="inlineStr">
        <x:is>
          <x:t xml:space="preserve">https://drive.google.com/file/d/17RfIQA_nIhQBdhxc_X-5hnKEji3Od8yA/view?usp=drive_link</x:t>
        </x:is>
      </x:c>
      <x:c r="C65" s="11" t="inlineStr">
        <x:is>
          <x:t xml:space="preserve">Uma abordagem de modelagem preditiva para decodificar a intenção do consumidor na adoção de tecnologias energeticamente eficientes em cadeias de suprimento de alimentos</x:t>
        </x:is>
      </x:c>
      <x:c r="D65" s="11" t="inlineStr">
        <x:is>
          <x:t xml:space="preserve">A predictive modelling approach to decoding consumer intention for adopting energy-efficient technologies in food supply chains</x:t>
        </x:is>
      </x:c>
      <x:c r="E65" s="11" t="n">
        <x:v>2025</x:v>
      </x:c>
      <x:c r="F65" s="11" t="inlineStr">
        <x:is>
          <x:t xml:space="preserve">Brintha Rajendran; Manivannan Babu; Veeramani Anandhabalaji</x:t>
        </x:is>
      </x:c>
      <x:c r="G65" s="11" t="inlineStr">
        <x:is>
          <x:t xml:space="preserve">Artigo científico</x:t>
        </x:is>
      </x:c>
      <x:c r="H65" s="11" t="inlineStr">
        <x:is>
          <x:t xml:space="preserve">Decision Analytics Journal</x:t>
        </x:is>
      </x:c>
      <x:c r="I65" s="11" t="inlineStr">
        <x:is>
          <x:t xml:space="preserve">10.1016/j.dajour.2025.100561</x:t>
        </x:is>
      </x:c>
      <x:c r="J65" s="11" t="n">
        <x:v>2</x:v>
      </x:c>
      <x:c r="K65" s="11" t="inlineStr">
        <x:is>
          <x:t xml:space="preserve">Técnica; sustentabilidade; apoio metodológico</x:t>
        </x:is>
      </x:c>
      <x:c r="L65" s="11" t="inlineStr">
        <x:is>
          <x:t xml:space="preserve">Referencial teórico; metodologia, apenas se discutir ML em cadeias alimentares</x:t>
        </x:is>
      </x:c>
      <x:c r="M65" s="11" t="inlineStr">
        <x:is>
          <x:t xml:space="preserve">O artigo usa aprendizado de máquina para prever intenção de consumidores em relação a tecnologias energeticamente eficientes na cadeia de alimentos. A conexão com o projeto é indireta: mostra uso de ML para decisão sustentável em cadeias alimentares, mas não trata previsão de demanda de refeições nem desperdício operacional de restaurante.</x:t>
        </x:is>
      </x:c>
      <x:c r="N65" s="11" t="inlineStr">
        <x:is>
          <x:t xml:space="preserve">Compara algoritmos de ML e relata melhor desempenho do Random Forest. Também utiliza mineração de regras de associação para identificar padrões de intenção do consumidor.</x:t>
        </x:is>
      </x:c>
      <x:c r="O65" s="11" t="inlineStr">
        <x:is>
          <x:t xml:space="preserve">Pode ser citado apenas como exemplo periférico de analítica preditiva aplicada à sustentabilidade em cadeias alimentares.</x:t>
        </x:is>
      </x:c>
      <x:c r="P65" s="11" t="inlineStr">
        <x:is>
          <x:t xml:space="preserve">Em cadeias de suprimento de alimentos, modelos preditivos também têm sido empregados para apoiar decisões de sustentabilidade, embora nem sempre direcionadas diretamente à previsão de demanda ou à redução de desperdício em serviços de alimentação.</x:t>
        </x:is>
      </x:c>
      <x:c r="Q65" s="11" t="inlineStr">
        <x:is>
          <x:t xml:space="preserve">Foco em intenção do consumidor e tecnologias energéticas, não em consumo real, produção de refeições ou desperdício em restaurante.</x:t>
        </x:is>
      </x:c>
      <x:c r="R65" s="11" t="inlineStr">
        <x:is>
          <x:t xml:space="preserve">Apoio pontual</x:t>
        </x:is>
      </x:c>
    </x:row>
    <x:row r="66" s="12" customFormat="1" ht="22.5" customHeight="1">
      <x:c r="A66" s="7" t="inlineStr">
        <x:is>
          <x:t xml:space="preserve">A066</x:t>
        </x:is>
      </x:c>
      <x:c r="B66" s="4" t="inlineStr">
        <x:is>
          <x:t xml:space="preserve">https://drive.google.com/file/d/1s9wLGGmU1xma39DciCqgK6lhXk7NgqWY/view?usp=drive_link</x:t>
        </x:is>
      </x:c>
      <x:c r="C66" s="11" t="inlineStr">
        <x:is>
          <x:t xml:space="preserve">Inteligência artificial no sistema alimentar: abordagem inovadora para minimizar deterioração e desperdício de alimentos</x:t>
        </x:is>
      </x:c>
      <x:c r="D66" s="11" t="inlineStr">
        <x:is>
          <x:t xml:space="preserve">Artificial Intelligence in Food System: Innovative Approach to Minimizing Food Spoilage and Food Waste</x:t>
        </x:is>
      </x:c>
      <x:c r="E66" s="11" t="n">
        <x:v>2025</x:v>
      </x:c>
      <x:c r="F66" s="11" t="inlineStr">
        <x:is>
          <x:t xml:space="preserve">Helen Onyeaka; Adenike Akinsemolu; Taghi Miri; Nnabueze Darlington Nnaji; Keru Duan; Gu Pang; Phemelo Tamasiga; Samran Khalid; Zainab T. Al-Sharify; Chinenye Ugwa</x:t>
        </x:is>
      </x:c>
      <x:c r="G66" s="11" t="inlineStr">
        <x:is>
          <x:t xml:space="preserve">Artigo de revisão</x:t>
        </x:is>
      </x:c>
      <x:c r="H66" s="11" t="inlineStr">
        <x:is>
          <x:t xml:space="preserve">Journal of Agriculture and Food Research</x:t>
        </x:is>
      </x:c>
      <x:c r="I66" s="11" t="inlineStr">
        <x:is>
          <x:t xml:space="preserve">10.1016/j.jafr.2025.101895</x:t>
        </x:is>
      </x:c>
      <x:c r="J66" s="11" t="n">
        <x:v>4</x:v>
      </x:c>
      <x:c r="K66" s="11" t="inlineStr">
        <x:is>
          <x:t xml:space="preserve">Contexto; técnica; limitação; trabalhos futuros</x:t>
        </x:is>
      </x:c>
      <x:c r="L66" s="11" t="inlineStr">
        <x:is>
          <x:t xml:space="preserve">Referencial teórico; metodologia; discussão; trabalhos futuros</x:t>
        </x:is>
      </x:c>
      <x:c r="M66" s="11" t="inlineStr">
        <x:is>
          <x:t xml:space="preserve">O artigo é útil para sustentar a adoção de IA e aprendizado de máquina na redução de deterioração e desperdício de alimentos. Dialoga com o projeto ao destacar previsão, dados em tempo real, qualidade dos dados, sistemas legados e necessidade de protocolos padronizados.</x:t>
        </x:is>
      </x:c>
      <x:c r="N66" s="11" t="inlineStr">
        <x:is>
          <x:t xml:space="preserve">Aponta que cerca de um terço dos alimentos produzidos é perdido ou desperdiçado. Discute modelos de ML, análise preditiva, monitoramento em tempo real, previsão de deterioração e desafios de dados, integração e regulação. Cita casos com redução de desperdício por soluções de IA.</x:t>
        </x:is>
      </x:c>
      <x:c r="O66" s="11" t="inlineStr">
        <x:is>
          <x:t xml:space="preserve">Pode ser usado para justificar a relevância socioambiental do tema e a necessidade de dados padronizados e rastreáveis antes da modelagem.</x:t>
        </x:is>
      </x:c>
      <x:c r="P66" s="11" t="inlineStr">
        <x:is>
          <x:t xml:space="preserve">A aplicação de IA em sistemas alimentares depende não apenas dos algoritmos, mas também da qualidade dos dados, da padronização de protocolos e da integração com processos operacionais, aspectos diretamente relacionados à construção do artefato de dados desta pesquisa.</x:t>
        </x:is>
      </x:c>
      <x:c r="Q66" s="11" t="inlineStr">
        <x:is>
          <x:t xml:space="preserve">É uma revisão ampla sobre sistemas alimentares, não um estudo específico de restaurante escolar. Usar como fundamento geral, não como prova direta de que o modelo do projeto reduzirá desperdício.</x:t>
        </x:is>
      </x:c>
      <x:c r="R66" s="11" t="inlineStr">
        <x:is>
          <x:t xml:space="preserve">Aproveitar parcialmente</x:t>
        </x:is>
      </x:c>
    </x:row>
    <x:row r="67" s="12" customFormat="1" ht="22.5" customHeight="1">
      <x:c r="A67" s="7" t="inlineStr">
        <x:is>
          <x:t xml:space="preserve">A067</x:t>
        </x:is>
      </x:c>
      <x:c r="B67" s="4" t="inlineStr">
        <x:is>
          <x:t xml:space="preserve">https://drive.google.com/file/d/122ODztNxX3AKiXZhno5HDSnZgkpKjSiB/view?usp=drive_link</x:t>
        </x:is>
      </x:c>
      <x:c r="C67" s="11" t="inlineStr">
        <x:is>
          <x:t xml:space="preserve">Explorando o potencial de estratégias de gestão de desperdício alimentar orientadas por IA usadas na hotelaria para aplicação em domicílios</x:t>
        </x:is>
      </x:c>
      <x:c r="D67" s="11" t="inlineStr">
        <x:is>
          <x:t xml:space="preserve">Exploring the Potential of AI-Driven Food Waste Management Strategies Used in the Hospitality Industry for Application in Household Settings</x:t>
        </x:is>
      </x:c>
      <x:c r="E67" s="11" t="n">
        <x:v>2025</x:v>
      </x:c>
      <x:c r="F67" s="11" t="inlineStr">
        <x:is>
          <x:t xml:space="preserve">Quintana M. Clark; Disha Basavaraja Kanavikar; Jason Clark; Patrick J. Donnelly</x:t>
        </x:is>
      </x:c>
      <x:c r="G67" s="11" t="inlineStr">
        <x:is>
          <x:t xml:space="preserve">Artigo científico / estudo de caso</x:t>
        </x:is>
      </x:c>
      <x:c r="H67" s="11" t="inlineStr">
        <x:is>
          <x:t xml:space="preserve">Frontiers in Artificial Intelligence</x:t>
        </x:is>
      </x:c>
      <x:c r="I67" s="11" t="inlineStr">
        <x:is>
          <x:t xml:space="preserve">10.3389/frai.2024.1429477</x:t>
        </x:is>
      </x:c>
      <x:c r="J67" s="11" t="n">
        <x:v>3</x:v>
      </x:c>
      <x:c r="K67" s="11" t="inlineStr">
        <x:is>
          <x:t xml:space="preserve">Contexto; técnica; limitação; trabalhos futuros</x:t>
        </x:is>
      </x:c>
      <x:c r="L67" s="11" t="inlineStr">
        <x:is>
          <x:t xml:space="preserve">Referencial teórico; discussão; trabalhos futuros</x:t>
        </x:is>
      </x:c>
      <x:c r="M67" s="11" t="inlineStr">
        <x:is>
          <x:t xml:space="preserve">O artigo discute tecnologias de IA para monitorar, categorizar e reduzir desperdício em hospitalidade, com base em soluções como Leanpath, Winnow e Kitro. A relação com o projeto é moderada: não trata restaurante escolar, mas aborda desperdício alimentar em cozinhas comerciais e uso de dados operacionais para decisão.</x:t>
        </x:is>
      </x:c>
      <x:c r="N67" s="11" t="inlineStr">
        <x:is>
          <x:t xml:space="preserve">Destaca uso de dados em tempo real, visão computacional, balanças inteligentes, categorização de resíduos, análise preditiva e adaptação de estratégias de ambientes comerciais para outros contextos. Também discute barreiras de custo, escala, privacidade e adesão do usuário.</x:t>
        </x:is>
      </x:c>
      <x:c r="O67" s="11" t="inlineStr">
        <x:is>
          <x:t xml:space="preserve">Pode apoiar a discussão de que tecnologias orientadas por dados para desperdício exigem adaptação ao contexto operacional e não podem ser transferidas automaticamente entre ambientes.</x:t>
        </x:is>
      </x:c>
      <x:c r="P67" s="11" t="inlineStr">
        <x:is>
          <x:t xml:space="preserve">Estratégias de IA para redução de desperdício alimentar precisam ser adaptadas ao contexto de uso, pois diferenças de escala, custo, comportamento dos usuários e disponibilidade de dados afetam a viabilidade operacional das soluções.</x:t>
        </x:is>
      </x:c>
      <x:c r="Q67" s="11" t="inlineStr">
        <x:is>
          <x:t xml:space="preserve">O foco final é aplicação domiciliar, não previsão de refeições escolares. Usar apenas para discussão geral sobre IA, monitoramento e adaptação contextual.</x:t>
        </x:is>
      </x:c>
      <x:c r="R67" s="11" t="inlineStr">
        <x:is>
          <x:t xml:space="preserve">Apoio pontual</x:t>
        </x:is>
      </x:c>
    </x:row>
    <x:row r="68" s="12" customFormat="1" ht="22.5" customHeight="1">
      <x:c r="A68" s="7" t="inlineStr">
        <x:is>
          <x:t xml:space="preserve">A068</x:t>
        </x:is>
      </x:c>
      <x:c r="B68" s="4" t="inlineStr">
        <x:is>
          <x:t xml:space="preserve">https://drive.google.com/file/d/17m0G_bxggh4CW91ogyvvyf5SPaNQNA35/view?usp=drive_link</x:t>
        </x:is>
      </x:c>
      <x:c r="C68" s="11" t="inlineStr">
        <x:is>
          <x:t xml:space="preserve">Previsão e modelagem da demanda na cadeia de suprimento de alimentos usando aprendizado de máquina</x:t>
        </x:is>
      </x:c>
      <x:c r="D68" s="11" t="inlineStr">
        <x:is>
          <x:t xml:space="preserve">Forecasting and Modelling of Food Demand Supply Chain using Machine Learning</x:t>
        </x:is>
      </x:c>
      <x:c r="E68" s="11" t="n">
        <x:v>2025</x:v>
      </x:c>
      <x:c r="F68" s="11" t="inlineStr">
        <x:is>
          <x:t xml:space="preserve">M. A. Chaudhari; Aditi Phapale; Pranav Gagare; Tejas Kardile; Amruta Phatangare</x:t>
        </x:is>
      </x:c>
      <x:c r="G68" s="11" t="inlineStr">
        <x:is>
          <x:t xml:space="preserve">Artigo científico / proposta de sistema</x:t>
        </x:is>
      </x:c>
      <x:c r="H68" s="11" t="inlineStr">
        <x:is>
          <x:t xml:space="preserve">International Journal of Innovative Research in Engineering &amp; Multidisciplinary Physical Sciences</x:t>
        </x:is>
      </x:c>
      <x:c r="I68" s="11" t="inlineStr">
        <x:is>
          <x:t xml:space="preserve">Não identificado</x:t>
        </x:is>
      </x:c>
      <x:c r="J68" s="11" t="n">
        <x:v>4</x:v>
      </x:c>
      <x:c r="K68" s="11" t="inlineStr">
        <x:is>
          <x:t xml:space="preserve">Técnica; comparação; metodologia de modelagem</x:t>
        </x:is>
      </x:c>
      <x:c r="L68" s="11" t="inlineStr">
        <x:is>
          <x:t xml:space="preserve">Referencial teórico; metodologia; modelagem; discussão de algoritmos</x:t>
        </x:is>
      </x:c>
      <x:c r="M68" s="11" t="inlineStr">
        <x:is>
          <x:t xml:space="preserve">O artigo é próximo ao projeto por tratar previsão de demanda de alimentos com ML, gestão de estoque, redução de desperdício e apoio à decisão. Cita modelos como XGBoost, LightGBM, Gradient Boosting e SARIMA, além de uso de histórico, tendências e painel analítico.</x:t>
        </x:is>
      </x:c>
      <x:c r="N68" s="11" t="inlineStr">
        <x:is>
          <x:t xml:space="preserve">O estudo reforça que previsões imprecisas podem gerar excesso de estoque, desperdício ou falta de atendimento. Também registra comparação entre XGBoost e LightGBM por RMSE e MAE, indicando melhor desempenho do LightGBM no caso analisado.</x:t>
        </x:is>
      </x:c>
      <x:c r="O68" s="11" t="inlineStr">
        <x:is>
          <x:t xml:space="preserve">Pode ser usado para justificar a escolha de famílias de modelos, como boosting e modelos temporais, e para reforçar a importância de calendário, sazonalidade e histórico na previsão de demanda alimentar.</x:t>
        </x:is>
      </x:c>
      <x:c r="P68" s="11" t="inlineStr">
        <x:is>
          <x:t xml:space="preserve">Em sistemas alimentares, a previsão de demanda tem impacto direto sobre estoque, produção e desperdício, sendo comum comparar modelos baseados em boosting e séries temporais para apoiar decisões operacionais.</x:t>
        </x:is>
      </x:c>
      <x:c r="Q68" s="11" t="inlineStr">
        <x:is>
          <x:t xml:space="preserve">O artigo parece ter menor rigor editorial que periódicos consolidados e contém problemas de redação/formatação. Usar com cautela, principalmente como apoio recente e não como referência metodológica principal.</x:t>
        </x:is>
      </x:c>
      <x:c r="R68" s="11" t="inlineStr">
        <x:is>
          <x:t xml:space="preserve">Aproveitar parcialmente</x:t>
        </x:is>
      </x:c>
    </x:row>
    <x:row r="69" s="12" customFormat="1" ht="22.5" customHeight="1">
      <x:c r="A69" s="7" t="inlineStr">
        <x:is>
          <x:t xml:space="preserve">A069</x:t>
        </x:is>
      </x:c>
      <x:c r="B69" s="4" t="inlineStr">
        <x:is>
          <x:t xml:space="preserve">https://drive.google.com/file/d/11Y0197rKw49tZIrwm9s9uXBukZRPlQrM/view?usp=drive_link</x:t>
        </x:is>
      </x:c>
      <x:c r="C69" s="11" t="inlineStr">
        <x:is>
          <x:t xml:space="preserve">Projeto de modelo de gestão da informação baseado em algoritmo de otimização multiobjetivo em sistema financeiro elétrico inteligente</x:t>
        </x:is>
      </x:c>
      <x:c r="D69" s="11" t="inlineStr">
        <x:is>
          <x:t xml:space="preserve">Design of information management model based on multiobjective optimization algorithm in intelligent electric financial system</x:t>
        </x:is>
      </x:c>
      <x:c r="E69" s="11" t="n">
        <x:v>2024</x:v>
      </x:c>
      <x:c r="F69" s="11" t="inlineStr">
        <x:is>
          <x:t xml:space="preserve">Junhui Hu; Hongxiang Cai; Shiyong Zhang; Chuanxun Pei; Zihao Wang</x:t>
        </x:is>
      </x:c>
      <x:c r="G69" s="11" t="inlineStr">
        <x:is>
          <x:t xml:space="preserve">Artigo empírico/metodológico</x:t>
        </x:is>
      </x:c>
      <x:c r="H69" s="11" t="inlineStr">
        <x:is>
          <x:t xml:space="preserve">PeerJ Computer Science</x:t>
        </x:is>
      </x:c>
      <x:c r="I69" s="4" t="inlineStr">
        <x:is>
          <x:t xml:space="preserve">https://doi.org/10.7717/peerj-cs.2023</x:t>
        </x:is>
      </x:c>
      <x:c r="J69" s="11" t="n">
        <x:v>1</x:v>
      </x:c>
      <x:c r="K69" s="11" t="inlineStr">
        <x:is>
          <x:t xml:space="preserve">Técnica; trabalhos futuros</x:t>
        </x:is>
      </x:c>
      <x:c r="L69" s="11" t="inlineStr">
        <x:is>
          <x:t xml:space="preserve">Trabalhos futuros; apoio pontual</x:t>
        </x:is>
      </x:c>
      <x:c r="M69" s="11" t="inlineStr">
        <x:is>
          <x:t xml:space="preserve">A relação é fraca. O artigo trata otimização multiobjetivo em sistema financeiro do setor elétrico, não alimentação, previsão de demanda ou desperdício. Pode ser aproveitado apenas se futuramente a dissertação discutir otimização multiobjetivo para equilibrar sobra, falta, custo e nível de serviço.</x:t>
        </x:is>
      </x:c>
      <x:c r="N69" s="11" t="inlineStr">
        <x:is>
          <x:t xml:space="preserve">O artigo trabalha com funções objetivo conflitantes e fronteira de Pareto, o que conversa de forma distante com o dilema do seu projeto: produzir a mais gera sobra; produzir a menos gera falta.</x:t>
        </x:is>
      </x:c>
      <x:c r="O69" s="11" t="inlineStr">
        <x:is>
          <x:t xml:space="preserve">Pode inspirar trabalhos futuros sobre otimização da produção recomendada considerando objetivos conflitantes: minimizar desperdício, minimizar falta e controlar custo.</x:t>
        </x:is>
      </x:c>
      <x:c r="P69" s="11" t="inlineStr">
        <x:is>
          <x:t xml:space="preserve">Em etapas futuras, o planejamento de produção pode ser formulado como problema multiobjetivo, no qual desperdício, falta de refeições e custo operacional sejam avaliados de forma conjunta.</x:t>
        </x:is>
      </x:c>
      <x:c r="Q69" s="11" t="inlineStr">
        <x:is>
          <x:t xml:space="preserve">Contexto muito distante. Não usar no referencial principal. Se a matriz ficar grande, este artigo pode ser marcado como apoio pontual ou até descartável.</x:t>
        </x:is>
      </x:c>
      <x:c r="R69" s="11" t="inlineStr">
        <x:is>
          <x:t xml:space="preserve">Apoio pontual</x:t>
        </x:is>
      </x:c>
    </x:row>
    <x:row r="70">
      <x:c r="A70" s="13" t="inlineStr">
        <x:is>
          <x:t xml:space="preserve">A070</x:t>
        </x:is>
      </x:c>
      <x:c r="B70" s="13" t="inlineStr">
        <x:is>
          <x:t xml:space="preserve">https://ifatwww.et.uni-magdeburg.de/ifac2020/media/pdfs/3120.pdf</x:t>
        </x:is>
      </x:c>
      <x:c r="C70" s="13" t="inlineStr">
        <x:is>
          <x:t xml:space="preserve">Modelo matemático para programação da produção de alimentos em catering hospitalar</x:t>
        </x:is>
      </x:c>
      <x:c r="D70" s="13" t="inlineStr">
        <x:is>
          <x:t xml:space="preserve">Mathematical model for scheduling food production in hospital catering</x:t>
        </x:is>
      </x:c>
      <x:c r="E70" s="13" t="n">
        <x:v>2020</x:v>
      </x:c>
      <x:c r="F70" s="13" t="inlineStr">
        <x:is>
          <x:t xml:space="preserve">Fatima Abderrabi; Matthieu Godichaud; Alice Yalaoui; Farouk Yalaoui; Lionel Amodeo; Ardian Qerimi; Eric Thivet</x:t>
        </x:is>
      </x:c>
      <x:c r="G70" s="13" t="inlineStr">
        <x:is>
          <x:t xml:space="preserve">Artigo científico</x:t>
        </x:is>
      </x:c>
      <x:c r="H70" s="13" t="inlineStr">
        <x:is>
          <x:t xml:space="preserve">IFAC-PapersOnLine, v. 53, n. 2, p. 10670-10675</x:t>
        </x:is>
      </x:c>
      <x:c r="I70" s="13" t="inlineStr">
        <x:is>
          <x:t xml:space="preserve">https://doi.org/10.1016/j.ifacol.2020.12.2837</x:t>
        </x:is>
      </x:c>
      <x:c r="J70" s="13" t="n">
        <x:v>4</x:v>
      </x:c>
      <x:c r="K70" s="13" t="inlineStr">
        <x:is>
          <x:t xml:space="preserve">Método; contexto; otimização da produção</x:t>
        </x:is>
      </x:c>
      <x:c r="L70" s="13" t="inlineStr">
        <x:is>
          <x:t xml:space="preserve">2.2.2 Abordagens clássicas de planejamento e otimização</x:t>
        </x:is>
      </x:c>
      <x:c r="M70" s="13" t="inlineStr">
        <x:is>
          <x:t xml:space="preserve">Demonstra aplicação de pesquisa operacional à programação multiproduto e multiestágio da produção de refeições em catering hospitalar, considerando operações, recursos e restrições.</x:t>
        </x:is>
      </x:c>
      <x:c r="N70" s="13" t="inlineStr">
        <x:is>
          <x:t xml:space="preserve">Formula um modelo matemático testado com instâncias reais do hospital. O problema representa pratos, etapas de processamento e recursos disponíveis.</x:t>
        </x:is>
      </x:c>
      <x:c r="O70" s="13" t="inlineStr">
        <x:is>
          <x:t xml:space="preserve">A programação da produção em catering hospitalar pode ser formulada como um problema multiproduto e multiestágio, sujeito às operações e aos recursos da cozinha.</x:t>
        </x:is>
      </x:c>
      <x:c r="P70" s="13" t="inlineStr">
        <x:is>
          <x:t xml:space="preserve">Abderrabi et al. (2020) modelam a programação da produção de refeições em catering hospitalar como problema multiproduto e multiestágio, com restrições de recursos.</x:t>
        </x:is>
      </x:c>
      <x:c r="Q70" s="13" t="inlineStr">
        <x:is>
          <x:t xml:space="preserve">Usar como exemplo de otimização e programação da produção. O estudo não prevê demanda nem avalia políticas de margem para restaurante universitário.</x:t>
        </x:is>
      </x:c>
      <x:c r="R70" s="13" t="inlineStr">
        <x:is>
          <x:t xml:space="preserve">Apoio pontual</x:t>
        </x:is>
      </x:c>
    </x:row>
    <x:row r="71" s="12" customFormat="1">
      <x:c r="A71" s="13" t="inlineStr">
        <x:is>
          <x:t xml:space="preserve">A071</x:t>
        </x:is>
      </x:c>
      <x:c r="B71" s="13" t="inlineStr">
        <x:is>
          <x:t xml:space="preserve">https://pub.epsilon.slu.se/17485/1/malefors_c_et_al_200903.pdf</x:t>
        </x:is>
      </x:c>
      <x:c r="C71" s="13" t="inlineStr">
        <x:is>
          <x:t xml:space="preserve">Potencial do uso de previsão de presença em serviços de alimentação pública suecos para reduzir a produção excessiva</x:t>
        </x:is>
      </x:c>
      <x:c r="D71" s="13" t="inlineStr">
        <x:is>
          <x:t xml:space="preserve">Potential for using guest attendance forecasting in Swedish public catering to reduce overcatering</x:t>
        </x:is>
      </x:c>
      <x:c r="E71" s="13" t="n">
        <x:v>2021</x:v>
      </x:c>
      <x:c r="F71" s="13" t="inlineStr">
        <x:is>
          <x:t xml:space="preserve">Christopher Malefors; Ingrid Strid; Per-Anders Hansson; Mattias Eriksson</x:t>
        </x:is>
      </x:c>
      <x:c r="G71" s="13" t="inlineStr">
        <x:is>
          <x:t xml:space="preserve">Artigo científico</x:t>
        </x:is>
      </x:c>
      <x:c r="H71" s="13" t="inlineStr">
        <x:is>
          <x:t xml:space="preserve">Sustainable Production and Consumption, v. 25, p. 162-172</x:t>
        </x:is>
      </x:c>
      <x:c r="I71" s="13" t="inlineStr">
        <x:is>
          <x:t xml:space="preserve">https://doi.org/10.1016/j.spc.2020.08.008</x:t>
        </x:is>
      </x:c>
      <x:c r="J71" s="13" t="n">
        <x:v>5</x:v>
      </x:c>
      <x:c r="K71" s="13" t="inlineStr">
        <x:is>
          <x:t xml:space="preserve">Problema; método; contexto; decisão de produção</x:t>
        </x:is>
      </x:c>
      <x:c r="L71" s="13" t="inlineStr">
        <x:is>
          <x:t xml:space="preserve">2.2.1 Previsão de demanda; 2.2.2 Planejamento e otimização; 2.4.1 Métricas e decisão</x:t>
        </x:is>
      </x:c>
      <x:c r="M71" s="13" t="inlineStr">
        <x:is>
          <x:t xml:space="preserve">Estudo diretamente relacionado à previsão de presença em alimentação pública e à conversão da previsão em quantidade a produzir.</x:t>
        </x:is>
      </x:c>
      <x:c r="N71" s="13" t="inlineStr">
        <x:is>
          <x:t xml:space="preserve">Com dados de 21 cozinhas escolares suecas (2010-2019), compara métodos convencionais e modelos de aprendizado de máquina e calcula margens associadas às previsões.</x:t>
        </x:is>
      </x:c>
      <x:c r="O71" s="13" t="inlineStr">
        <x:is>
          <x:t xml:space="preserve">Os autores utilizaram teoria estocástica de estoques para estimar o número de porções e observaram a necessidade de margem de segurança quando a demanda supera a previsão.</x:t>
        </x:is>
      </x:c>
      <x:c r="P71" s="13" t="inlineStr">
        <x:is>
          <x:t xml:space="preserve">Malefors et al. (2021) mostram que a previsão de presença pode apoiar o planejamento em alimentação pública, mas a decisão de produção ainda requer uma margem que considere dias de demanda acima da estimativa.</x:t>
        </x:is>
      </x:c>
      <x:c r="Q71" s="13" t="inlineStr">
        <x:is>
          <x:t xml:space="preserve">Contexto de cozinhas escolares suecas; resultados não devem ser transferidos diretamente para outros serviços. O modelo e a política exigem calibração local.</x:t>
        </x:is>
      </x:c>
      <x:c r="R71" s="13" t="inlineStr">
        <x:is>
          <x:t xml:space="preserve">Aproveitar fortemente</x:t>
        </x:is>
      </x:c>
    </x:row>
    <x:row r="72" s="12" customFormat="1">
      <x:c r="A72" s="13" t="inlineStr">
        <x:is>
          <x:t xml:space="preserve">A072</x:t>
        </x:is>
      </x:c>
      <x:c r="B72" s="14" t="inlineStr">
        <x:is>
          <x:t xml:space="preserve">PDF original (abrir)</x:t>
        </x:is>
      </x:c>
      <x:c r="C72" s="13" t="inlineStr">
        <x:is>
          <x:t xml:space="preserve">Engenharia de atributos para aprendizado de máquina: princípios e técnicas para cientistas de dados</x:t>
        </x:is>
      </x:c>
      <x:c r="D72" s="13" t="inlineStr">
        <x:is>
          <x:t xml:space="preserve">Feature Engineering for Machine Learning: Principles and Techniques for Data Scientists</x:t>
        </x:is>
      </x:c>
      <x:c r="E72" s="13" t="n">
        <x:v>2018</x:v>
      </x:c>
      <x:c r="F72" s="13" t="inlineStr">
        <x:is>
          <x:t xml:space="preserve">Alice Zheng; Amanda Casari</x:t>
        </x:is>
      </x:c>
      <x:c r="G72" s="13" t="inlineStr">
        <x:is>
          <x:t xml:space="preserve">Livro técnico</x:t>
        </x:is>
      </x:c>
      <x:c r="H72" s="13" t="inlineStr">
        <x:is>
          <x:t xml:space="preserve">O’Reilly Media</x:t>
        </x:is>
      </x:c>
      <x:c r="I72" s="13" t="n"/>
      <x:c r="J72" s="13" t="n">
        <x:v>4</x:v>
      </x:c>
      <x:c r="K72" s="13" t="inlineStr">
        <x:is>
          <x:t xml:space="preserve">Métodos; preparação de dados; engenharia de atributos</x:t>
        </x:is>
      </x:c>
      <x:c r="L72" s="13" t="inlineStr">
        <x:is>
          <x:t xml:space="preserve">Metodologia; preparação de dados; discussão dos preditores</x:t>
        </x:is>
      </x:c>
      <x:c r="M72" s="13" t="inlineStr">
        <x:is>
          <x:t xml:space="preserve">Obra diretamente pertinente à construção e transformação de atributos para modelos tabulares.
Markdown de leitura: Trabalhos/Artigos/Markdown/Fontes_second_brain/Feature_Engineering_for_Machine_Learning_Principles_and_Techniques_for_Data_Scientists_-_Alice_Zheng.md</x:t>
        </x:is>
      </x:c>
      <x:c r="N72" s="13" t="inlineStr">
        <x:is>
          <x:t xml:space="preserve">Fundamenta a criação de variáveis temporais, categóricas e contextuais; deve apoiar a justificativa das transformações efetivamente usadas nos notebooks.</x:t>
        </x:is>
      </x:c>
      <x:c r="O72" s="13" t="inlineStr">
        <x:is>
          <x:t xml:space="preserve">A engenharia de atributos conecta os dados brutos ao problema preditivo e deve ser orientada pelo domínio e pelo protocolo de avaliação.</x:t>
        </x:is>
      </x:c>
      <x:c r="P72" s="13" t="inlineStr">
        <x:is>
          <x:t xml:space="preserve">Zheng e Casari (2018) discutem a engenharia de atributos como etapa central da preparação de dados para aprendizado de máquina, reforçando a necessidade de derivar variáveis coerentes com o domínio e com o desenho de avaliação.</x:t>
        </x:is>
      </x:c>
      <x:c r="Q72" s="13" t="inlineStr">
        <x:is>
          <x:t xml:space="preserve">Livro técnico, não estudo empírico de refeições; usar para princípios de método, não como evidência de impacto operacional. Conferir páginas antes da citação final.</x:t>
        </x:is>
      </x:c>
      <x:c r="R72" s="13" t="inlineStr">
        <x:is>
          <x:t xml:space="preserve">Aproveitar parcialmente</x:t>
        </x:is>
      </x:c>
    </x:row>
    <x:row r="73" s="12" customFormat="1">
      <x:c r="A73" s="13" t="inlineStr">
        <x:is>
          <x:t xml:space="preserve">A073</x:t>
        </x:is>
      </x:c>
      <x:c r="B73" s="14" t="inlineStr">
        <x:is>
          <x:t xml:space="preserve">PDF original (abrir)</x:t>
        </x:is>
      </x:c>
      <x:c r="C73" s="13" t="inlineStr">
        <x:is>
          <x:t xml:space="preserve">Análise de séries temporais com Python: receitas para análise exploratória, preparação de dados, previsão e avaliação de modelos</x:t>
        </x:is>
      </x:c>
      <x:c r="D73" s="13" t="inlineStr">
        <x:is>
          <x:t xml:space="preserve">Time Series Analysis with Python Cookbook: Practical Recipes for Exploratory Data Analysis, Data Preparation, Forecasting, and Model Evaluation</x:t>
        </x:is>
      </x:c>
      <x:c r="E73" s="13" t="n">
        <x:v>2022</x:v>
      </x:c>
      <x:c r="F73" s="13" t="inlineStr">
        <x:is>
          <x:t xml:space="preserve">Tarek A. Atwan</x:t>
        </x:is>
      </x:c>
      <x:c r="G73" s="13" t="inlineStr">
        <x:is>
          <x:t xml:space="preserve">Livro técnico</x:t>
        </x:is>
      </x:c>
      <x:c r="H73" s="13" t="inlineStr">
        <x:is>
          <x:t xml:space="preserve">Packt Publishing</x:t>
        </x:is>
      </x:c>
      <x:c r="I73" s="13" t="n"/>
      <x:c r="J73" s="13" t="n">
        <x:v>4</x:v>
      </x:c>
      <x:c r="K73" s="13" t="inlineStr">
        <x:is>
          <x:t xml:space="preserve">Método; previsão temporal; avaliação</x:t>
        </x:is>
      </x:c>
      <x:c r="L73" s="13" t="inlineStr">
        <x:is>
          <x:t xml:space="preserve">Metodologia; validação temporal; engenharia de atributos</x:t>
        </x:is>
      </x:c>
      <x:c r="M73" s="13" t="inlineStr">
        <x:is>
          <x:t xml:space="preserve">Fonte pertinente ao tratamento de séries temporais e protocolos de avaliação preditiva.
Markdown de leitura: Trabalhos/Artigos/Markdown/Fontes_second_brain/Time_Series_Analysis_with_Python_Cookbook_-_Tarek_A_Atwan.md</x:t>
        </x:is>
      </x:c>
      <x:c r="N73" s="13" t="inlineStr">
        <x:is>
          <x:t xml:space="preserve">Pode apoiar validação temporal, preparação de dados e comparação de previsões; conferir compatibilidade entre as receitas e o esquema walk-forward adotado.</x:t>
        </x:is>
      </x:c>
      <x:c r="O73" s="13" t="inlineStr">
        <x:is>
          <x:t xml:space="preserve">A avaliação em séries temporais precisa preservar a ordem cronológica e reproduzir o uso futuro do modelo.</x:t>
        </x:is>
      </x:c>
      <x:c r="P73" s="13" t="inlineStr">
        <x:is>
          <x:t xml:space="preserve">Atwan (2022) apresenta procedimentos de preparação e avaliação de modelos de séries temporais que podem orientar a validação cronológica do artefato.</x:t>
        </x:is>
      </x:c>
      <x:c r="Q73" s="13" t="inlineStr">
        <x:is>
          <x:t xml:space="preserve">Livro técnico com exemplos em Python; não substitui artigos metodológicos nem evidência empírica do contexto de alimentação. Verificar capítulos e páginas da edição disponível.</x:t>
        </x:is>
      </x:c>
      <x:c r="R73" s="13" t="inlineStr">
        <x:is>
          <x:t xml:space="preserve">Aproveitar parcialmente</x:t>
        </x:is>
      </x:c>
    </x:row>
    <x:row r="74" s="12" customFormat="1">
      <x:c r="A74" s="13" t="inlineStr">
        <x:is>
          <x:t xml:space="preserve">A074</x:t>
        </x:is>
      </x:c>
      <x:c r="B74" s="14" t="inlineStr">
        <x:is>
          <x:t xml:space="preserve">PDF original (abrir)</x:t>
        </x:is>
      </x:c>
      <x:c r="C74" s="13" t="inlineStr">
        <x:is>
          <x:t xml:space="preserve">Padrões de projeto em aprendizado de máquina: soluções para desafios comuns na preparação de dados, construção de modelos e MLOps</x:t>
        </x:is>
      </x:c>
      <x:c r="D74" s="13" t="inlineStr">
        <x:is>
          <x:t xml:space="preserve">Machine Learning Design Patterns: Solutions to Common Challenges in Data Preparation, Model Building, and MLOps</x:t>
        </x:is>
      </x:c>
      <x:c r="E74" s="13" t="n">
        <x:v>2021</x:v>
      </x:c>
      <x:c r="F74" s="13" t="inlineStr">
        <x:is>
          <x:t xml:space="preserve">Valliappa Lakshmanan; Sara Robinson; Michael Munn</x:t>
        </x:is>
      </x:c>
      <x:c r="G74" s="13" t="inlineStr">
        <x:is>
          <x:t xml:space="preserve">Livro técnico</x:t>
        </x:is>
      </x:c>
      <x:c r="H74" s="13" t="inlineStr">
        <x:is>
          <x:t xml:space="preserve">O’Reilly Media</x:t>
        </x:is>
      </x:c>
      <x:c r="I74" s="13" t="n"/>
      <x:c r="J74" s="13" t="n">
        <x:v>3</x:v>
      </x:c>
      <x:c r="K74" s="13" t="inlineStr">
        <x:is>
          <x:t xml:space="preserve">Implementação; preparação; ciclo de vida do modelo</x:t>
        </x:is>
      </x:c>
      <x:c r="L74" s="13" t="inlineStr">
        <x:is>
          <x:t xml:space="preserve">Metodologia; desenho do artefato; implantação e monitoramento</x:t>
        </x:is>
      </x:c>
      <x:c r="M74" s="13" t="inlineStr">
        <x:is>
          <x:t xml:space="preserve">Oferece padrões de engenharia para estruturar preparação, predição e operação de sistemas de ML.
Markdown de leitura: Trabalhos/Artigos/Markdown/Fontes_second_brain/Machine_Learning_Design_Patterns_-_Valliappa_Lakshmanan.md</x:t>
        </x:is>
      </x:c>
      <x:c r="N74" s="13" t="inlineStr">
        <x:is>
          <x:t xml:space="preserve">Pode apoiar modularização do pipeline, consistência entre treino e inferência e monitoramento; selecionar apenas padrões alinhados à implementação.</x:t>
        </x:is>
      </x:c>
      <x:c r="O74" s="13" t="inlineStr">
        <x:is>
          <x:t xml:space="preserve">Sistemas de aprendizado de máquina precisam integrar preparação de dados, modelo e operação de forma consistente.</x:t>
        </x:is>
      </x:c>
      <x:c r="P74" s="13" t="inlineStr">
        <x:is>
          <x:t xml:space="preserve">Lakshmanan, Robinson e Munn (2021) sistematizam padrões para reduzir problemas recorrentes na preparação de dados, construção de modelos e operação de soluções de aprendizado de máquina.</x:t>
        </x:is>
      </x:c>
      <x:c r="Q74" s="13" t="inlineStr">
        <x:is>
          <x:t xml:space="preserve">Obra de engenharia, não valida desempenho no problema estudado; ficha registra primeira publicação em outubro de 2020 e copyright 2021. Confirmar forma bibliográfica adotada.</x:t>
        </x:is>
      </x:c>
      <x:c r="R74" s="13" t="inlineStr">
        <x:is>
          <x:t xml:space="preserve">Aproveitar parcialmente</x:t>
        </x:is>
      </x:c>
    </x:row>
    <x:row r="75" s="12" customFormat="1">
      <x:c r="A75" s="13" t="inlineStr">
        <x:is>
          <x:t xml:space="preserve">A075</x:t>
        </x:is>
      </x:c>
      <x:c r="B75" s="14" t="inlineStr">
        <x:is>
          <x:t xml:space="preserve">PDF original (abrir)</x:t>
        </x:is>
      </x:c>
      <x:c r="C75" s="13" t="inlineStr">
        <x:is>
          <x:t xml:space="preserve">Aprendizado de máquina prático com Scikit-Learn, Keras e TensorFlow</x:t>
        </x:is>
      </x:c>
      <x:c r="D75" s="13" t="inlineStr">
        <x:is>
          <x:t xml:space="preserve">Hands-On Machine Learning with Scikit-Learn, Keras, and TensorFlow</x:t>
        </x:is>
      </x:c>
      <x:c r="E75" s="13" t="n">
        <x:v>2019</x:v>
      </x:c>
      <x:c r="F75" s="13" t="inlineStr">
        <x:is>
          <x:t xml:space="preserve">Aurélien Géron</x:t>
        </x:is>
      </x:c>
      <x:c r="G75" s="13" t="inlineStr">
        <x:is>
          <x:t xml:space="preserve">Livro técnico</x:t>
        </x:is>
      </x:c>
      <x:c r="H75" s="13" t="inlineStr">
        <x:is>
          <x:t xml:space="preserve">O’Reilly Media</x:t>
        </x:is>
      </x:c>
      <x:c r="I75" s="13" t="n"/>
      <x:c r="J75" s="13" t="n">
        <x:v>2</x:v>
      </x:c>
      <x:c r="K75" s="13" t="inlineStr">
        <x:is>
          <x:t xml:space="preserve">Modelos; implementação; referência didática</x:t>
        </x:is>
      </x:c>
      <x:c r="L75" s="13" t="inlineStr">
        <x:is>
          <x:t xml:space="preserve">Metodologia; comparação de modelos</x:t>
        </x:is>
      </x:c>
      <x:c r="M75" s="13" t="inlineStr">
        <x:is>
          <x:t xml:space="preserve">Referência didática para implementação e fundamentos de modelos supervisionados e redes neurais.
Markdown de leitura: Trabalhos/Artigos/Markdown/Fontes_second_brain/Hands-On_Machine_Learning_with_Scikit-Learn-Keras-and-TensorFlow-2nd-Edition-Aurelien-Geron.md</x:t>
        </x:is>
      </x:c>
      <x:c r="N75" s="13" t="inlineStr">
        <x:is>
          <x:t xml:space="preserve">Apoia descrição técnica de algoritmos presentes no pipeline, sem substituir referências primárias nem justificar sozinha a seleção dos modelos.</x:t>
        </x:is>
      </x:c>
      <x:c r="O75" s="13" t="inlineStr">
        <x:is>
          <x:t xml:space="preserve">A comparação de modelos deve observar o problema, o pré-processamento e o protocolo de validação.</x:t>
        </x:is>
      </x:c>
      <x:c r="P75" s="13" t="inlineStr">
        <x:is>
          <x:t xml:space="preserve">Géron (2019) apresenta fundamentos e implementações de algoritmos supervisionados e redes neurais, servindo como apoio técnico à descrição dos modelos comparados.</x:t>
        </x:is>
      </x:c>
      <x:c r="Q75" s="13" t="inlineStr">
        <x:is>
          <x:t xml:space="preserve">Segunda edição (2019); conferir adequação às bibliotecas e decisões metodológicas atuais. Não é evidência específica de previsão de refeições.</x:t>
        </x:is>
      </x:c>
      <x:c r="R75" s="13" t="inlineStr">
        <x:is>
          <x:t xml:space="preserve">Apoio pontual</x:t>
        </x:is>
      </x:c>
    </x:row>
    <x:row r="76" s="12" customFormat="1">
      <x:c r="A76" s="13" t="inlineStr">
        <x:is>
          <x:t xml:space="preserve">A076</x:t>
        </x:is>
      </x:c>
      <x:c r="B76" s="14" t="inlineStr">
        <x:is>
          <x:t xml:space="preserve">PDF original (abrir)</x:t>
        </x:is>
      </x:c>
      <x:c r="C76" s="13" t="inlineStr">
        <x:is>
          <x:t xml:space="preserve">Introdução ao aprendizado de máquina</x:t>
        </x:is>
      </x:c>
      <x:c r="D76" s="13" t="inlineStr">
        <x:is>
          <x:t xml:space="preserve">Introduction to Machine Learning</x:t>
        </x:is>
      </x:c>
      <x:c r="E76" s="13" t="n">
        <x:v>2020</x:v>
      </x:c>
      <x:c r="F76" s="13" t="inlineStr">
        <x:is>
          <x:t xml:space="preserve">Ethem Alpaydin</x:t>
        </x:is>
      </x:c>
      <x:c r="G76" s="13" t="inlineStr">
        <x:is>
          <x:t xml:space="preserve">Livro técnico</x:t>
        </x:is>
      </x:c>
      <x:c r="H76" s="13" t="inlineStr">
        <x:is>
          <x:t xml:space="preserve">The MIT Press</x:t>
        </x:is>
      </x:c>
      <x:c r="I76" s="13" t="n"/>
      <x:c r="J76" s="13" t="n">
        <x:v>2</x:v>
      </x:c>
      <x:c r="K76" s="13" t="inlineStr">
        <x:is>
          <x:t xml:space="preserve">Fundamentos; modelos estatísticos e de ML</x:t>
        </x:is>
      </x:c>
      <x:c r="L76" s="13" t="inlineStr">
        <x:is>
          <x:t xml:space="preserve">Fundamentação teórica; comparação de modelos</x:t>
        </x:is>
      </x:c>
      <x:c r="M76" s="13" t="inlineStr">
        <x:is>
          <x:t xml:space="preserve">Referência conceitual para fundamentos estatísticos e famílias de algoritmos de aprendizado de máquina.
Markdown de leitura: Trabalhos/Artigos/Markdown/Fontes_second_brain/Introduction_into_Machine_Learning_4th_Edition_-_Ethem_Alpaydin.md</x:t>
        </x:is>
      </x:c>
      <x:c r="N76" s="13" t="inlineStr">
        <x:is>
          <x:t xml:space="preserve">Pode dar base conceitual às famílias de modelos; priorizar fontes primárias e documentação para detalhes específicos dos estimadores.</x:t>
        </x:is>
      </x:c>
      <x:c r="O76" s="13" t="inlineStr">
        <x:is>
          <x:t xml:space="preserve">Modelos de aprendizado de máquina formalizam relações inferidas dos dados e requerem avaliação apropriada ao objetivo preditivo.</x:t>
        </x:is>
      </x:c>
      <x:c r="P76" s="13" t="inlineStr">
        <x:is>
          <x:t xml:space="preserve">Alpaydin (2020) apresenta fundamentos e famílias de métodos de aprendizado de máquina que podem sustentar a contextualização teórica dos modelos avaliados.</x:t>
        </x:is>
      </x:c>
      <x:c r="Q76" s="13" t="inlineStr">
        <x:is>
          <x:t xml:space="preserve">Quarta edição confirmada na ficha extraída; obra geral, sem foco em alimentação coletiva ou validação operacional prospectiva.</x:t>
        </x:is>
      </x:c>
      <x:c r="R76" s="13" t="inlineStr">
        <x:is>
          <x:t xml:space="preserve">Apoio pontual</x:t>
        </x:is>
      </x:c>
    </x:row>
    <x:row r="77">
      <x:c r="A77" t="str">
        <x:v>A077</x:v>
      </x:c>
      <x:c r="B77" t="str">
        <x:v>https://hrcak.srce.hr/en/309217</x:v>
      </x:c>
      <x:c r="C77" t="str">
        <x:v>Previsão da demanda de alimentos para produção usando algoritmos de aprendizado de máquina: estudo de caso em restaurante universitário</x:v>
      </x:c>
      <x:c r="D77" t="str">
        <x:v>Demand Forecasting for Food Production Using Machine Learning Algorithms: A Case Study of University Refectory</x:v>
      </x:c>
      <x:c r="E77" t="n">
        <x:v>2023</x:v>
      </x:c>
      <x:c r="F77" t="str">
        <x:v>Mehmet Aci; Derya Yergök</x:v>
      </x:c>
      <x:c r="G77" t="str">
        <x:v>Artigo empírico</x:v>
      </x:c>
      <x:c r="H77" t="str">
        <x:v>Tehnički vjesnik, 30(6), 1683–1691</x:v>
      </x:c>
      <x:c r="I77" t="str">
        <x:v>https://doi.org/10.17559/TV-20230117000232</x:v>
      </x:c>
      <x:c r="J77" t="n">
        <x:v>5</x:v>
      </x:c>
      <x:c r="K77" t="str">
        <x:v>Problema; contexto aplicado; método; comparação de modelos</x:v>
      </x:c>
      <x:c r="L77" t="str">
        <x:v>Introdução; referencial teórico; metodologia; discussão</x:v>
      </x:c>
      <x:c r="M77" t="str">
        <x:v>Estudo diretamente relacionado à previsão de demanda em restaurante universitário. Considera efeitos de calendário e ingredientes do cardápio para estimar refeições sem pré-reserva, aproximando-se da linha-base deste projeto.</x:v>
      </x:c>
      <x:c r="N77" t="str">
        <x:v>O resumo informa a comparação de 18 modelos em cinco famílias e relata melhor desempenho para o Ensemble Decision Tree Boosted. O artigo é útil para contextualizar a aplicação de previsão em refeitório; os indicadores numéricos não devem ser comparados aos deste estudo sem verificar escala, desenho de teste e definição do alvo no texto integral.</x:v>
      </x:c>
      <x:c r="O77" t="str">
        <x:v>O estudo avalia 18 modelos, distribuídos por cinco famílias, em um restaurante universitário. O resumo destaca a combinação de calendário e ingredientes do cardápio, sem pré-reserva, e aponta o EDT Boosted como melhor desempenho entre os métodos testados.</x:v>
      </x:c>
      <x:c r="P77" t="str">
        <x:v>Aci e Yergök (2023) desenvolveram modelos para estimar a demanda de refeições em um restaurante universitário, considerando calendário e ingredientes do cardápio em um cenário sem pré-reserva.</x:v>
      </x:c>
      <x:c r="Q77" t="str">
        <x:v>Texto integral obtido e conferido: a primeira página confirma título, autores, periódico, volume/número, páginas e DOI. Arquivado em Artigos/Aproveitar fortemente/2023-Aci_Yergok_Demand_Forecasting_University_Refectory.pdf. Ainda conferir período, amostra, variáveis, validação e escala dos erros antes de incorporar resultados numéricos à dissertação.</x:v>
      </x:c>
      <x:c r="R77" t="str">
        <x:v>Aproveitar fortemente</x:v>
      </x:c>
    </x:row>
  </x:sheetData>
  <x:conditionalFormatting sqref="A2:R999">
    <x:cfRule type="expression" dxfId="7" priority="1">
      <x:formula>$R2="Aproveitar parcialmente"</x:formula>
    </x:cfRule>
    <x:cfRule type="expression" dxfId="8" priority="2">
      <x:formula>$R2="Aproveitar fortemente"</x:formula>
    </x:cfRule>
    <x:cfRule type="expression" dxfId="9" priority="3">
      <x:formula>$R2="Apoio pontual"</x:formula>
    </x:cfRule>
    <x:cfRule type="expression" dxfId="10" priority="4">
      <x:formula>$R2="Não aproveitar, salvo apoio muito pontual"</x:formula>
    </x:cfRule>
  </x:conditionalFormatting>
  <x:hyperlinks>
    <x:hyperlink xmlns:r="http://schemas.openxmlformats.org/officeDocument/2006/relationships" ref="B2" r:id="Ra5969bac719a4dd7"/>
    <x:hyperlink xmlns:r="http://schemas.openxmlformats.org/officeDocument/2006/relationships" ref="B3" r:id="Ra0a0633508614c01"/>
    <x:hyperlink xmlns:r="http://schemas.openxmlformats.org/officeDocument/2006/relationships" ref="I3" r:id="Rc4c441409318435c"/>
    <x:hyperlink xmlns:r="http://schemas.openxmlformats.org/officeDocument/2006/relationships" ref="B4" r:id="Rf604b8758a2941fb"/>
    <x:hyperlink xmlns:r="http://schemas.openxmlformats.org/officeDocument/2006/relationships" ref="B5" r:id="R76d479a86ea34e25"/>
    <x:hyperlink xmlns:r="http://schemas.openxmlformats.org/officeDocument/2006/relationships" ref="B6" r:id="R14f5b461b4b143c0"/>
    <x:hyperlink xmlns:r="http://schemas.openxmlformats.org/officeDocument/2006/relationships" ref="I6" r:id="Ra48129ab2b104fa0"/>
    <x:hyperlink xmlns:r="http://schemas.openxmlformats.org/officeDocument/2006/relationships" ref="B7" r:id="Rc618196209164617"/>
    <x:hyperlink xmlns:r="http://schemas.openxmlformats.org/officeDocument/2006/relationships" ref="I7" r:id="Rd9a58a9dda38435a"/>
    <x:hyperlink xmlns:r="http://schemas.openxmlformats.org/officeDocument/2006/relationships" ref="I8" r:id="Rcf48d1ccd79d4ad5"/>
    <x:hyperlink xmlns:r="http://schemas.openxmlformats.org/officeDocument/2006/relationships" ref="B9" r:id="Reba1267c78174854"/>
    <x:hyperlink xmlns:r="http://schemas.openxmlformats.org/officeDocument/2006/relationships" ref="I9" r:id="Rb7fcaef3053f4064"/>
    <x:hyperlink xmlns:r="http://schemas.openxmlformats.org/officeDocument/2006/relationships" ref="B10" r:id="R8c90fbfdbad6432a"/>
    <x:hyperlink xmlns:r="http://schemas.openxmlformats.org/officeDocument/2006/relationships" ref="I10" r:id="Rd1ee950fd3214b71"/>
    <x:hyperlink xmlns:r="http://schemas.openxmlformats.org/officeDocument/2006/relationships" ref="B11" r:id="R636c0bbfd3be4fde"/>
    <x:hyperlink xmlns:r="http://schemas.openxmlformats.org/officeDocument/2006/relationships" ref="I11" r:id="R46c6e1da65364216"/>
    <x:hyperlink xmlns:r="http://schemas.openxmlformats.org/officeDocument/2006/relationships" ref="B12" r:id="R865fdd83a7df4b41"/>
    <x:hyperlink xmlns:r="http://schemas.openxmlformats.org/officeDocument/2006/relationships" ref="I12" r:id="R980221fcf9a64523"/>
    <x:hyperlink xmlns:r="http://schemas.openxmlformats.org/officeDocument/2006/relationships" ref="B13" r:id="R71e21ef60f9f4771"/>
    <x:hyperlink xmlns:r="http://schemas.openxmlformats.org/officeDocument/2006/relationships" ref="I13" r:id="R9be3110d09ac4712"/>
    <x:hyperlink xmlns:r="http://schemas.openxmlformats.org/officeDocument/2006/relationships" ref="B14" r:id="Ra959f3d8b87247d0"/>
    <x:hyperlink xmlns:r="http://schemas.openxmlformats.org/officeDocument/2006/relationships" ref="I14" r:id="Rb752ae06fbae45b4"/>
    <x:hyperlink xmlns:r="http://schemas.openxmlformats.org/officeDocument/2006/relationships" ref="B15" r:id="Rc5d6dae3669e4ecf"/>
    <x:hyperlink xmlns:r="http://schemas.openxmlformats.org/officeDocument/2006/relationships" ref="I15" r:id="R7ad2ece042fe4bcc"/>
    <x:hyperlink xmlns:r="http://schemas.openxmlformats.org/officeDocument/2006/relationships" ref="B16" r:id="Ra4b67c489dd24ac7"/>
    <x:hyperlink xmlns:r="http://schemas.openxmlformats.org/officeDocument/2006/relationships" ref="I16" r:id="R3103b66d41414139"/>
    <x:hyperlink xmlns:r="http://schemas.openxmlformats.org/officeDocument/2006/relationships" ref="B17" r:id="R9fb6306fd6a64003"/>
    <x:hyperlink xmlns:r="http://schemas.openxmlformats.org/officeDocument/2006/relationships" ref="I17" r:id="Re330d51c50974961"/>
    <x:hyperlink xmlns:r="http://schemas.openxmlformats.org/officeDocument/2006/relationships" ref="B18" r:id="R0c923e8b97844444"/>
    <x:hyperlink xmlns:r="http://schemas.openxmlformats.org/officeDocument/2006/relationships" ref="B19" r:id="R41d0ec3dbbb7412b"/>
    <x:hyperlink xmlns:r="http://schemas.openxmlformats.org/officeDocument/2006/relationships" ref="I19" r:id="R7a04ab8426eb4fb7"/>
    <x:hyperlink xmlns:r="http://schemas.openxmlformats.org/officeDocument/2006/relationships" ref="B20" r:id="R2290c3b920684feb"/>
    <x:hyperlink xmlns:r="http://schemas.openxmlformats.org/officeDocument/2006/relationships" ref="I20" r:id="R48b8e0fdcf6f483f"/>
    <x:hyperlink xmlns:r="http://schemas.openxmlformats.org/officeDocument/2006/relationships" ref="B21" r:id="R272c5c68b03244aa"/>
    <x:hyperlink xmlns:r="http://schemas.openxmlformats.org/officeDocument/2006/relationships" ref="I21" r:id="Raa4f676f6a404c95"/>
    <x:hyperlink xmlns:r="http://schemas.openxmlformats.org/officeDocument/2006/relationships" ref="B22" r:id="Rf00330aa8770427d"/>
    <x:hyperlink xmlns:r="http://schemas.openxmlformats.org/officeDocument/2006/relationships" ref="I22" r:id="R8a7911e9bb8441a1"/>
    <x:hyperlink xmlns:r="http://schemas.openxmlformats.org/officeDocument/2006/relationships" ref="B23" r:id="R58a0da6df8774686"/>
    <x:hyperlink xmlns:r="http://schemas.openxmlformats.org/officeDocument/2006/relationships" ref="I23" r:id="R9dd37edb412f42f0"/>
    <x:hyperlink xmlns:r="http://schemas.openxmlformats.org/officeDocument/2006/relationships" ref="B24" r:id="R400593b194f54897"/>
    <x:hyperlink xmlns:r="http://schemas.openxmlformats.org/officeDocument/2006/relationships" ref="B25" r:id="R7d3e42ec25e94ea2"/>
    <x:hyperlink xmlns:r="http://schemas.openxmlformats.org/officeDocument/2006/relationships" ref="B26" r:id="Reb0a8ed769204494"/>
    <x:hyperlink xmlns:r="http://schemas.openxmlformats.org/officeDocument/2006/relationships" ref="I26" r:id="R1ae86846000542c5"/>
    <x:hyperlink xmlns:r="http://schemas.openxmlformats.org/officeDocument/2006/relationships" ref="B27" r:id="Rfb80d13544804c82"/>
    <x:hyperlink xmlns:r="http://schemas.openxmlformats.org/officeDocument/2006/relationships" ref="I27" r:id="Ra7ee508202944f97"/>
    <x:hyperlink xmlns:r="http://schemas.openxmlformats.org/officeDocument/2006/relationships" ref="B28" r:id="R21e3cc40cb0c4fed"/>
    <x:hyperlink xmlns:r="http://schemas.openxmlformats.org/officeDocument/2006/relationships" ref="I28" r:id="Rbed3dd9b28124f18"/>
    <x:hyperlink xmlns:r="http://schemas.openxmlformats.org/officeDocument/2006/relationships" ref="B29" r:id="R772ddf32df344937"/>
    <x:hyperlink xmlns:r="http://schemas.openxmlformats.org/officeDocument/2006/relationships" ref="I29" r:id="R83d1bf258c0941b5"/>
    <x:hyperlink xmlns:r="http://schemas.openxmlformats.org/officeDocument/2006/relationships" ref="B30" r:id="R0ce475800e7540ff"/>
    <x:hyperlink xmlns:r="http://schemas.openxmlformats.org/officeDocument/2006/relationships" ref="I30" r:id="R6f42a11c7af24951"/>
    <x:hyperlink xmlns:r="http://schemas.openxmlformats.org/officeDocument/2006/relationships" ref="B31" r:id="R784bb8f46ee74a1e"/>
    <x:hyperlink xmlns:r="http://schemas.openxmlformats.org/officeDocument/2006/relationships" ref="B32" r:id="R805acc1ffcf34f38"/>
    <x:hyperlink xmlns:r="http://schemas.openxmlformats.org/officeDocument/2006/relationships" ref="I32" r:id="Rd58df1911a4e4e38"/>
    <x:hyperlink xmlns:r="http://schemas.openxmlformats.org/officeDocument/2006/relationships" ref="B33" r:id="Rd5004c1afc19451f"/>
    <x:hyperlink xmlns:r="http://schemas.openxmlformats.org/officeDocument/2006/relationships" ref="I33" r:id="R3776335035c84bbd"/>
    <x:hyperlink xmlns:r="http://schemas.openxmlformats.org/officeDocument/2006/relationships" ref="B34" r:id="R46b7c675994b4cd8"/>
    <x:hyperlink xmlns:r="http://schemas.openxmlformats.org/officeDocument/2006/relationships" ref="I34" r:id="R6b22ef84f0034eb7"/>
    <x:hyperlink xmlns:r="http://schemas.openxmlformats.org/officeDocument/2006/relationships" ref="B35" r:id="Rfd9d9ce5046b4927"/>
    <x:hyperlink xmlns:r="http://schemas.openxmlformats.org/officeDocument/2006/relationships" ref="I35" r:id="Rbafea266856c4fbc"/>
    <x:hyperlink xmlns:r="http://schemas.openxmlformats.org/officeDocument/2006/relationships" ref="B36" r:id="Rc6326a2ed49342f6"/>
    <x:hyperlink xmlns:r="http://schemas.openxmlformats.org/officeDocument/2006/relationships" ref="I36" r:id="R1d6c32bb712d43ab"/>
    <x:hyperlink xmlns:r="http://schemas.openxmlformats.org/officeDocument/2006/relationships" ref="B37" r:id="Rd387e1d545924900"/>
    <x:hyperlink xmlns:r="http://schemas.openxmlformats.org/officeDocument/2006/relationships" ref="I37" r:id="Reb532842f3a74a42"/>
    <x:hyperlink xmlns:r="http://schemas.openxmlformats.org/officeDocument/2006/relationships" ref="B38" r:id="Rbf05d6b68fa54e51"/>
    <x:hyperlink xmlns:r="http://schemas.openxmlformats.org/officeDocument/2006/relationships" ref="I38" r:id="R9be47880a2fb4e47"/>
    <x:hyperlink xmlns:r="http://schemas.openxmlformats.org/officeDocument/2006/relationships" ref="B39" r:id="R584ddf6f5c3e41c5"/>
    <x:hyperlink xmlns:r="http://schemas.openxmlformats.org/officeDocument/2006/relationships" ref="I39" r:id="Rd29d102bf2314393"/>
    <x:hyperlink xmlns:r="http://schemas.openxmlformats.org/officeDocument/2006/relationships" ref="B40" r:id="R43725052e37e4796"/>
    <x:hyperlink xmlns:r="http://schemas.openxmlformats.org/officeDocument/2006/relationships" ref="I40" r:id="Rf5ee530bd182406f"/>
    <x:hyperlink xmlns:r="http://schemas.openxmlformats.org/officeDocument/2006/relationships" ref="B41" r:id="R3d6f3f9ab0ed4d83"/>
    <x:hyperlink xmlns:r="http://schemas.openxmlformats.org/officeDocument/2006/relationships" ref="B42" r:id="Rbfa89691ead2439b"/>
    <x:hyperlink xmlns:r="http://schemas.openxmlformats.org/officeDocument/2006/relationships" ref="B43" r:id="Rd7d73ee9c4ce46ce"/>
    <x:hyperlink xmlns:r="http://schemas.openxmlformats.org/officeDocument/2006/relationships" ref="I43" r:id="Rfed2cf2050704875"/>
    <x:hyperlink xmlns:r="http://schemas.openxmlformats.org/officeDocument/2006/relationships" ref="B44" r:id="Raf5b8d73f53249ca"/>
    <x:hyperlink xmlns:r="http://schemas.openxmlformats.org/officeDocument/2006/relationships" ref="B45" r:id="Rb6a2b77f953143b9"/>
    <x:hyperlink xmlns:r="http://schemas.openxmlformats.org/officeDocument/2006/relationships" ref="B46" r:id="R6066007e5c204435"/>
    <x:hyperlink xmlns:r="http://schemas.openxmlformats.org/officeDocument/2006/relationships" ref="B47" r:id="Rfb7f8f1f24424616"/>
    <x:hyperlink xmlns:r="http://schemas.openxmlformats.org/officeDocument/2006/relationships" ref="B48" r:id="Rdd3d3a3c2ac34540"/>
    <x:hyperlink xmlns:r="http://schemas.openxmlformats.org/officeDocument/2006/relationships" ref="B49" r:id="Rd7640176d5554501"/>
    <x:hyperlink xmlns:r="http://schemas.openxmlformats.org/officeDocument/2006/relationships" ref="B50" r:id="Rcf32bc7fe34141fb"/>
    <x:hyperlink xmlns:r="http://schemas.openxmlformats.org/officeDocument/2006/relationships" ref="B51" r:id="R09627bfd99be44be"/>
    <x:hyperlink xmlns:r="http://schemas.openxmlformats.org/officeDocument/2006/relationships" ref="B52" r:id="Rb0e3ad89bb174138"/>
    <x:hyperlink xmlns:r="http://schemas.openxmlformats.org/officeDocument/2006/relationships" ref="B53" r:id="R17c54d5bd7b54441"/>
    <x:hyperlink xmlns:r="http://schemas.openxmlformats.org/officeDocument/2006/relationships" ref="I53" r:id="R38f108ae679f4093"/>
    <x:hyperlink xmlns:r="http://schemas.openxmlformats.org/officeDocument/2006/relationships" ref="B54" r:id="Rc3068c0aeb494f3f"/>
    <x:hyperlink xmlns:r="http://schemas.openxmlformats.org/officeDocument/2006/relationships" ref="B55" r:id="Rde935953ff0d4e88"/>
    <x:hyperlink xmlns:r="http://schemas.openxmlformats.org/officeDocument/2006/relationships" ref="B56" r:id="R0489749a30e8489e"/>
    <x:hyperlink xmlns:r="http://schemas.openxmlformats.org/officeDocument/2006/relationships" ref="B57" r:id="R7d4d0020884944e5"/>
    <x:hyperlink xmlns:r="http://schemas.openxmlformats.org/officeDocument/2006/relationships" ref="B59" r:id="R46259b7b04fd46b9"/>
    <x:hyperlink xmlns:r="http://schemas.openxmlformats.org/officeDocument/2006/relationships" ref="B60" r:id="R858c596374a544c0"/>
    <x:hyperlink xmlns:r="http://schemas.openxmlformats.org/officeDocument/2006/relationships" ref="B61" r:id="R54596a4812954fa6"/>
    <x:hyperlink xmlns:r="http://schemas.openxmlformats.org/officeDocument/2006/relationships" ref="B62" r:id="R054dfb91c6094b26"/>
    <x:hyperlink xmlns:r="http://schemas.openxmlformats.org/officeDocument/2006/relationships" ref="B63" r:id="R83aad8608d164445"/>
    <x:hyperlink xmlns:r="http://schemas.openxmlformats.org/officeDocument/2006/relationships" ref="B64" r:id="Rbb3bf23d71614687"/>
    <x:hyperlink xmlns:r="http://schemas.openxmlformats.org/officeDocument/2006/relationships" ref="B65" r:id="R8d08eb5ad65e46ec"/>
    <x:hyperlink xmlns:r="http://schemas.openxmlformats.org/officeDocument/2006/relationships" ref="B66" r:id="R78b1ee00def34829"/>
    <x:hyperlink xmlns:r="http://schemas.openxmlformats.org/officeDocument/2006/relationships" ref="B67" r:id="Rfa570ad17b1b42ea"/>
    <x:hyperlink xmlns:r="http://schemas.openxmlformats.org/officeDocument/2006/relationships" ref="B68" r:id="Re254c57092a44560"/>
    <x:hyperlink xmlns:r="http://schemas.openxmlformats.org/officeDocument/2006/relationships" ref="B69" r:id="R475b616b64884f52"/>
    <x:hyperlink xmlns:r="http://schemas.openxmlformats.org/officeDocument/2006/relationships" ref="I69" r:id="Rfbde636b213e4514"/>
    <x:hyperlink xmlns:r="http://schemas.openxmlformats.org/officeDocument/2006/relationships" ref="B72" r:id="R5325978243c040e4"/>
    <x:hyperlink xmlns:r="http://schemas.openxmlformats.org/officeDocument/2006/relationships" ref="B73" r:id="R4df44dee5e0f4b55"/>
    <x:hyperlink xmlns:r="http://schemas.openxmlformats.org/officeDocument/2006/relationships" ref="B74" r:id="R15e10fc5d1204cbd"/>
    <x:hyperlink xmlns:r="http://schemas.openxmlformats.org/officeDocument/2006/relationships" ref="B75" r:id="R246835df65fd41f0"/>
    <x:hyperlink xmlns:r="http://schemas.openxmlformats.org/officeDocument/2006/relationships" ref="B76" r:id="R67a36e431a7046aa"/>
  </x:hyperlinks>
  <x:pageMargins left="0.7" right="0.7" top="0.75" bottom="0.75" header="0.3" footer="0.3"/>
  <x:tableParts count="1">
    <x:tablePart xmlns:r="http://schemas.openxmlformats.org/officeDocument/2006/relationships" r:id="R7cc53622c57945bf"/>
  </x:tableParts>
</x:worksheet>
</file>

<file path=xl/worksheets/sheet2.xml><?xml version="1.0" encoding="utf-8"?>
<x:worksheet xmlns:x="http://schemas.openxmlformats.org/spreadsheetml/2006/main">
  <x:sheetFormatPr baseColWidth="8" defaultColWidth="12.630000114440918" defaultRowHeight="15.75"/>
  <x:cols>
    <x:col min="1" max="1" width="15.630000114440918" style="12" customWidth="1"/>
    <x:col min="2" max="3" width="37.630001068115234" style="12" customWidth="1"/>
    <x:col min="4" max="4" width="41.25" style="12" customWidth="1"/>
  </x:cols>
  <x:sheetData>
    <x:row r="1">
      <x:c r="A1" s="11" t="inlineStr">
        <x:is>
          <x:t xml:space="preserve">Apoio pontual</x:t>
        </x:is>
      </x:c>
      <x:c r="B1" s="11" t="n">
        <x:f>COUNTIF('Página1'!$R$2:$R$76,"Apoio pontual")+COUNTIF('Página1'!$R$2:$R$76,"Apoio pontual")</x:f>
        <x:v>22</x:v>
      </x:c>
      <x:c r="C1" s="11" t="n"/>
      <x:c r="D1" s="11" t="n"/>
    </x:row>
    <x:row r="2">
      <x:c r="A2" s="11" t="inlineStr">
        <x:is>
          <x:t xml:space="preserve">Aproveitar fortemente</x:t>
        </x:is>
      </x:c>
      <x:c r="B2" s="11" t="n">
        <x:f>COUNTIF('Página1'!$R$2:$R$76,"Aproveitar fortemente")+COUNTIF('Página1'!$R$2:$R$76,"Aproveitar fortemente")</x:f>
        <x:v>20</x:v>
      </x:c>
      <x:c r="C2" s="11" t="n"/>
      <x:c r="D2" s="11" t="n"/>
    </x:row>
    <x:row r="3">
      <x:c r="A3" s="11" t="inlineStr">
        <x:is>
          <x:t xml:space="preserve">Aproveitar parcialmente</x:t>
        </x:is>
      </x:c>
      <x:c r="B3" s="11" t="n">
        <x:f>COUNTIF('Página1'!$R$2:$R$76,"Aproveitar parcialmente")+COUNTIF('Página1'!$R$2:$R$76,"Aproveitar parcialmente")</x:f>
        <x:v>31</x:v>
      </x:c>
      <x:c r="C3" s="11" t="n"/>
      <x:c r="D3" s="11" t="n"/>
    </x:row>
    <x:row r="4">
      <x:c r="A4" s="11" t="inlineStr">
        <x:is>
          <x:t xml:space="preserve">Não aproveitar, salvo apoio muito pontual</x:t>
        </x:is>
      </x:c>
      <x:c r="B4" s="11" t="n">
        <x:f>COUNTIF('Página1'!$R$2:$R$76,"Não aproveitar, salvo apoio muito pontual")+COUNTIF('Página1'!$R$2:$R$76,"Não aproveitar, salvo apoio muito pontual")</x:f>
        <x:v>2</x:v>
      </x:c>
      <x:c r="C4" s="11" t="n"/>
      <x:c r="D4" s="11" t="n"/>
    </x:row>
    <x:row r="5">
      <x:c r="A5" s="11" t="n"/>
      <x:c r="B5" s="11" t="n"/>
      <x:c r="C5" s="11" t="n"/>
      <x:c r="D5" s="11" t="n"/>
    </x:row>
    <x:row r="6">
      <x:c r="A6" s="11" t="n"/>
      <x:c r="B6" s="11" t="n">
        <x:f>SUM(B1:B4)</x:f>
        <x:v>75</x:v>
      </x:c>
      <x:c r="C6" s="11" t="n"/>
      <x:c r="D6" s="11" t="n"/>
    </x:row>
    <x:row r="7">
      <x:c r="A7" s="11" t="n"/>
      <x:c r="B7" s="11" t="n"/>
      <x:c r="C7" s="11" t="n"/>
      <x:c r="D7" s="11" t="n"/>
    </x:row>
    <x:row r="8" s="12" customFormat="1" ht="22.5" customHeight="1">
      <x:c r="A8" s="11" t="inlineStr">
        <x:is>
          <x:t xml:space="preserve">ID</x:t>
        </x:is>
      </x:c>
      <x:c r="B8" s="11" t="inlineStr">
        <x:is>
          <x:t xml:space="preserve">Título original</x:t>
        </x:is>
      </x:c>
      <x:c r="C8" s="11" t="inlineStr">
        <x:is>
          <x:t xml:space="preserve">Título em português</x:t>
        </x:is>
      </x:c>
      <x:c r="D8" s="11" t="inlineStr">
        <x:is>
          <x:t xml:space="preserve">Limk</x:t>
        </x:is>
      </x:c>
      <x:c r="E8" s="11" t="inlineStr">
        <x:is>
          <x:t xml:space="preserve">Status</x:t>
        </x:is>
      </x:c>
    </x:row>
    <x:row r="9" s="12" customFormat="1" ht="22.5" customHeight="1">
      <x:c r="A9" s="11" t="inlineStr">
        <x:is>
          <x:t xml:space="preserve">A02</x:t>
        </x:is>
      </x:c>
      <x:c r="B9" s="11" t="inlineStr">
        <x:is>
          <x:t xml:space="preserve">Análise Exploratória de Dados para Previsão da Demanda de Refeições e Redução do Desperdício Alimentar em Instituição de Ensino</x:t>
        </x:is>
      </x:c>
      <x:c r="C9" s="11" t="inlineStr">
        <x:is>
          <x:t xml:space="preserve">Análise exploratória de dados para previsão da demanda de refeições e redução do desperdício alimentar em instituição de ensino</x:t>
        </x:is>
      </x:c>
      <x:c r="D9" s="11" t="n"/>
      <x:c r="E9" s="11" t="n"/>
    </x:row>
    <x:row r="10" s="12" customFormat="1" ht="22.5" customHeight="1">
      <x:c r="A10" s="11" t="inlineStr">
        <x:is>
          <x:t xml:space="preserve">A005</x:t>
        </x:is>
      </x:c>
      <x:c r="B10" s="11" t="inlineStr">
        <x:is>
          <x:t xml:space="preserve">How to Conduct Rigorous Supervised Machine Learning in Information Systems Research: The Supervised Machine Learning Report Card</x:t>
        </x:is>
      </x:c>
      <x:c r="C10" s="11" t="inlineStr">
        <x:is>
          <x:t xml:space="preserve">Como conduzir aprendizado de máquina supervisionado rigoroso em pesquisa de sistemas de informação: o relatório de aprendizado supervisionado</x:t>
        </x:is>
      </x:c>
      <x:c r="D10" s="11" t="n"/>
      <x:c r="E10" s="11" t="n"/>
    </x:row>
    <x:row r="11" s="12" customFormat="1" ht="22.5" customHeight="1">
      <x:c r="A11" s="11" t="inlineStr">
        <x:is>
          <x:t xml:space="preserve">A010</x:t>
        </x:is>
      </x:c>
      <x:c r="B11" s="11" t="inlineStr">
        <x:is>
          <x:t xml:space="preserve">Ensuring the Robustness and Reliability of Data-Driven Knowledge Discovery Models in Production and Manufacturing</x:t>
        </x:is>
      </x:c>
      <x:c r="C11" s="11" t="inlineStr">
        <x:is>
          <x:t xml:space="preserve">Garantindo a robustez e a confiabilidade de modelos de descoberta de conhecimento orientados por dados em produção e manufatura</x:t>
        </x:is>
      </x:c>
      <x:c r="D11" s="11" t="n"/>
      <x:c r="E11" s="11" t="n"/>
    </x:row>
    <x:row r="12" s="12" customFormat="1" ht="22.5" customHeight="1">
      <x:c r="A12" s="11" t="inlineStr">
        <x:is>
          <x:t xml:space="preserve">A016</x:t>
        </x:is>
      </x:c>
      <x:c r="B12" s="11" t="inlineStr">
        <x:is>
          <x:t xml:space="preserve">A Survey of Decision Trees: Concepts, Algorithms, and Applications</x:t>
        </x:is>
      </x:c>
      <x:c r="C12" s="11" t="inlineStr">
        <x:is>
          <x:t xml:space="preserve">Uma revisão sobre árvores de decisão: conceitos, algoritmos e aplicações</x:t>
        </x:is>
      </x:c>
      <x:c r="D12" s="11" t="n"/>
      <x:c r="E12" s="11" t="n"/>
    </x:row>
    <x:row r="13" s="12" customFormat="1" ht="22.5" customHeight="1">
      <x:c r="A13" s="11" t="inlineStr">
        <x:is>
          <x:t xml:space="preserve">A021</x:t>
        </x:is>
      </x:c>
      <x:c r="B13" s="11" t="inlineStr">
        <x:is>
          <x:t xml:space="preserve">Food Waste in Schools: A Pre-/Post-Test Study Design Examining the Impact of a Food Service Training Intervention to Reduce Food Waste</x:t>
        </x:is>
      </x:c>
      <x:c r="C13" s="11" t="inlineStr">
        <x:is>
          <x:t xml:space="preserve">Desperdício de alimentos em escolas: estudo pré e pós-teste sobre o impacto de uma intervenção de treinamento em serviço de alimentação para reduzir desperdício</x:t>
        </x:is>
      </x:c>
      <x:c r="D13" s="11" t="n"/>
      <x:c r="E13" s="11" t="n"/>
    </x:row>
    <x:row r="14" s="12" customFormat="1" ht="22.5" customHeight="1">
      <x:c r="A14" s="11" t="inlineStr">
        <x:is>
          <x:t xml:space="preserve">A023</x:t>
        </x:is>
      </x:c>
      <x:c r="B14" s="11" t="inlineStr">
        <x:is>
          <x:t xml:space="preserve">Plate Waste Forecasting Using the Monte Carlo Method for Effective Decision Making in Latvian Schools</x:t>
        </x:is>
      </x:c>
      <x:c r="C14" s="11" t="inlineStr">
        <x:is>
          <x:t xml:space="preserve">Previsão de sobras no prato usando o método de Monte Carlo para tomada de decisão eficaz em escolas da Letônia</x:t>
        </x:is>
      </x:c>
      <x:c r="D14" s="11" t="n"/>
      <x:c r="E14" s="11" t="n"/>
    </x:row>
    <x:row r="15" s="12" customFormat="1" ht="22.5" customHeight="1">
      <x:c r="A15" s="11" t="inlineStr">
        <x:is>
          <x:t xml:space="preserve">A024</x:t>
        </x:is>
      </x:c>
      <x:c r="B15" s="11" t="inlineStr">
        <x:is>
          <x:t xml:space="preserve">Reducing Food Waste in Campus Dining: A Data-Driven Approach to Demand Prediction and Sustainability</x:t>
        </x:is>
      </x:c>
      <x:c r="C15" s="11" t="inlineStr">
        <x:is>
          <x:t xml:space="preserve">Redução do desperdício alimentar em restaurante universitário: uma abordagem orientada por dados para previsão de demanda e sustentabilidade</x:t>
        </x:is>
      </x:c>
      <x:c r="D15" s="11" t="n"/>
      <x:c r="E15" s="11" t="n"/>
    </x:row>
    <x:row r="16" s="12" customFormat="1" ht="22.5" customHeight="1">
      <x:c r="A16" s="11" t="inlineStr">
        <x:is>
          <x:t xml:space="preserve">A026</x:t>
        </x:is>
      </x:c>
      <x:c r="B16" s="11" t="inlineStr">
        <x:is>
          <x:t xml:space="preserve">Identification and modelling of risk factors for food waste generation in school and pre-school catering units</x:t>
        </x:is>
      </x:c>
      <x:c r="C16" s="11" t="inlineStr">
        <x:is>
          <x:t xml:space="preserve">Identificação e modelagem de fatores de risco para geração de desperdício alimentar em unidades de alimentação escolar e pré-escolar</x:t>
        </x:is>
      </x:c>
      <x:c r="D16" s="11" t="n"/>
      <x:c r="E16" s="11" t="n"/>
    </x:row>
    <x:row r="17" s="12" customFormat="1" ht="22.5" customHeight="1">
      <x:c r="A17" s="11" t="inlineStr">
        <x:is>
          <x:t xml:space="preserve">A027</x:t>
        </x:is>
      </x:c>
      <x:c r="B17" s="11" t="inlineStr">
        <x:is>
          <x:t xml:space="preserve">Food waste reduction and economic savings in times of crisis: The potential of machine learning methods to plan guest attendance in Swedish public catering during the Covid-19 pandemic</x:t>
        </x:is>
      </x:c>
      <x:c r="C17" s="11" t="inlineStr">
        <x:is>
          <x:t xml:space="preserve">Redução do desperdício alimentar e economia em tempos de crise: potencial de métodos de aprendizado de máquina para planejar presença em alimentação pública sueca durante a pandemia de Covid-19</x:t>
        </x:is>
      </x:c>
      <x:c r="D17" s="11" t="n"/>
      <x:c r="E17" s="11" t="n"/>
    </x:row>
    <x:row r="18" s="12" customFormat="1" ht="22.5" customHeight="1">
      <x:c r="A18" s="11" t="inlineStr">
        <x:is>
          <x:t xml:space="preserve">A031</x:t>
        </x:is>
      </x:c>
      <x:c r="B18" s="11" t="inlineStr">
        <x:is>
          <x:t xml:space="preserve">Food waste in hospitality and food services: A systematic literature review and framework development approach</x:t>
        </x:is>
      </x:c>
      <x:c r="C18" s="11" t="inlineStr">
        <x:is>
          <x:t xml:space="preserve">Desperdício alimentar em hospitalidade e serviços de alimentação: revisão sistemática da literatura e desenvolvimento de framework</x:t>
        </x:is>
      </x:c>
      <x:c r="D18" s="11" t="n"/>
      <x:c r="E18" s="11" t="n"/>
    </x:row>
    <x:row r="19" s="12" customFormat="1" ht="22.5" customHeight="1">
      <x:c r="A19" s="11" t="inlineStr">
        <x:is>
          <x:t xml:space="preserve">A032</x:t>
        </x:is>
      </x:c>
      <x:c r="B19" s="11" t="inlineStr">
        <x:is>
          <x:t xml:space="preserve">Machine learning models for short-term demand forecasting in food catering services: A solution to reduce food waste</x:t>
        </x:is>
      </x:c>
      <x:c r="C19" s="11" t="inlineStr">
        <x:is>
          <x:t xml:space="preserve">Modelos de aprendizado de máquina para previsão de demanda de curto prazo em serviços de alimentação coletiva: uma solução para reduzir desperdício alimentar</x:t>
        </x:is>
      </x:c>
      <x:c r="D19" s="11" t="n"/>
      <x:c r="E19" s="11" t="n"/>
    </x:row>
    <x:row r="20" s="12" customFormat="1" ht="22.5" customHeight="1">
      <x:c r="A20" s="11" t="inlineStr">
        <x:is>
          <x:t xml:space="preserve">A035</x:t>
        </x:is>
      </x:c>
      <x:c r="B20" s="11" t="inlineStr">
        <x:is>
          <x:t xml:space="preserve">Guest attendance data from 34 Swedish pre-schools and primary schools</x:t>
        </x:is>
      </x:c>
      <x:c r="C20" s="11" t="inlineStr">
        <x:is>
          <x:t xml:space="preserve">Dados de presença de comensais de 34 pré-escolas e escolas primárias suecas</x:t>
        </x:is>
      </x:c>
      <x:c r="D20" s="11" t="n"/>
      <x:c r="E20" s="11" t="n"/>
    </x:row>
    <x:row r="21" s="12" customFormat="1" ht="22.5" customHeight="1">
      <x:c r="A21" s="11" t="inlineStr">
        <x:is>
          <x:t xml:space="preserve">A041</x:t>
        </x:is>
      </x:c>
      <x:c r="B21" s="11" t="inlineStr">
        <x:is>
          <x:t xml:space="preserve">Preventing food waste in subsidy-based university dining systems: An artificial neural network-aided model under uncertainty</x:t>
        </x:is>
      </x:c>
      <x:c r="C21" s="11" t="inlineStr">
        <x:is>
          <x:t xml:space="preserve">Prevenção do desperdício de alimentos em sistemas universitários subsidiados de refeições: um modelo auxiliado por rede neural artificial sob incerteza</x:t>
        </x:is>
      </x:c>
      <x:c r="D21" s="11" t="n"/>
      <x:c r="E21" s="11" t="n"/>
    </x:row>
    <x:row r="22" s="12" customFormat="1" ht="22.5" customHeight="1">
      <x:c r="A22" s="11" t="inlineStr">
        <x:is>
          <x:t xml:space="preserve">A043</x:t>
        </x:is>
      </x:c>
      <x:c r="B22" s="11" t="inlineStr">
        <x:is>
          <x:t xml:space="preserve">Comparative analysis of model performance for predicting the customer of cafeteria using unstructured data</x:t>
        </x:is>
      </x:c>
      <x:c r="C22" s="11" t="inlineStr">
        <x:is>
          <x:t xml:space="preserve">Análise comparativa do desempenho de modelos para previsão de clientes de cafeteria usando dados não estruturados</x:t>
        </x:is>
      </x:c>
      <x:c r="D22" s="11" t="n"/>
      <x:c r="E22" s="11" t="n"/>
    </x:row>
    <x:row r="23" s="12" customFormat="1" ht="22.5" customHeight="1">
      <x:c r="A23" s="11" t="inlineStr">
        <x:is>
          <x:t xml:space="preserve">A047</x:t>
        </x:is>
      </x:c>
      <x:c r="B23" s="11" t="inlineStr">
        <x:is>
          <x:t xml:space="preserve">Reducing Plate Waste in Latvian Schools: Evaluating Interventions to Promote Sustainable Food Consumption Practices</x:t>
        </x:is>
      </x:c>
      <x:c r="C23" s="11" t="inlineStr">
        <x:is>
          <x:t xml:space="preserve">Redução do desperdício no prato em escolas da Letônia: avaliação de intervenções para promover práticas sustentáveis de consumo alimentar</x:t>
        </x:is>
      </x:c>
      <x:c r="D23" s="11" t="n"/>
      <x:c r="E23" s="11" t="n"/>
    </x:row>
    <x:row r="24" s="12" customFormat="1" ht="22.5" customHeight="1">
      <x:c r="A24" s="11" t="inlineStr">
        <x:is>
          <x:t xml:space="preserve">A053</x:t>
        </x:is>
      </x:c>
      <x:c r="B24" s="11" t="inlineStr">
        <x:is>
          <x:t xml:space="preserve">A Design Science Research Methodology for Information Systems Research</x:t>
        </x:is>
      </x:c>
      <x:c r="C24" s="11" t="inlineStr">
        <x:is>
          <x:t xml:space="preserve">Uma metodologia de Design Science Research para pesquisa em Sistemas de Informação</x:t>
        </x:is>
      </x:c>
      <x:c r="D24" s="11" t="n"/>
      <x:c r="E24" s="11" t="n"/>
    </x:row>
    <x:row r="25" s="12" customFormat="1" ht="22.5" customHeight="1">
      <x:c r="A25" s="11" t="inlineStr">
        <x:is>
          <x:t xml:space="preserve">A057</x:t>
        </x:is>
      </x:c>
      <x:c r="B25" s="11" t="inlineStr">
        <x:is>
          <x:t xml:space="preserve">Design Science in Information Systems Research</x:t>
        </x:is>
      </x:c>
      <x:c r="C25" s="11" t="inlineStr">
        <x:is>
          <x:t xml:space="preserve">Design Science em pesquisa de Sistemas de Informação</x:t>
        </x:is>
      </x:c>
      <x:c r="D25" s="11" t="n"/>
      <x:c r="E25" s="11" t="n"/>
    </x:row>
    <x:row r="26" s="12" customFormat="1" ht="22.5" customHeight="1">
      <x:c r="A26" s="11" t="inlineStr">
        <x:is>
          <x:t xml:space="preserve">A059</x:t>
        </x:is>
      </x:c>
      <x:c r="B26" s="11" t="inlineStr">
        <x:is>
          <x:t xml:space="preserve">Predictive Analytics in Information Systems Research</x:t>
        </x:is>
      </x:c>
      <x:c r="C26" s="11" t="inlineStr">
        <x:is>
          <x:t xml:space="preserve">Analítica preditiva em pesquisa de sistemas de informação</x:t>
        </x:is>
      </x:c>
      <x:c r="D26" s="11" t="n"/>
      <x:c r="E26" s="11" t="n"/>
    </x:row>
    <x:row r="27" s="12" customFormat="1" ht="22.5" customHeight="1">
      <x:c r="A27" s="11" t="inlineStr">
        <x:is>
          <x:t xml:space="preserve">A063</x:t>
        </x:is>
      </x:c>
      <x:c r="B27" s="11" t="inlineStr">
        <x:is>
          <x:t xml:space="preserve">Analytical Dataset for Demand Forecasting in a School Restaurant: Development through Design Science Research, Exploratory Analysis, and Feature Engineering</x:t>
        </x:is>
      </x:c>
      <x:c r="C27" s="11" t="inlineStr">
        <x:is>
          <x:t xml:space="preserve">Base analítica para previsão de demanda em restaurante escolar: desenvolvimento por Design Science Research, análise exploratória e engenharia de atributos</x:t>
        </x:is>
      </x:c>
      <x:c r="D27" s="11" t="n"/>
      <x:c r="E27" s="11" t="n"/>
    </x:row>
    <x:row r="28">
      <x:c r="A28" s="11" t="inlineStr">
        <x:is>
          <x:t xml:space="preserve">A071</x:t>
        </x:is>
      </x:c>
      <x:c r="B28" s="11" t="inlineStr">
        <x:is>
          <x:t xml:space="preserve">Potential for using guest attendance forecasting in Swedish public catering to reduce overcatering</x:t>
        </x:is>
      </x:c>
      <x:c r="C28" s="11" t="inlineStr">
        <x:is>
          <x:t xml:space="preserve">Potencial do uso de previsão de presença em serviços de alimentação pública suecos para reduzir a produção excessiva</x:t>
        </x:is>
      </x:c>
      <x:c r="D28" s="11" t="inlineStr">
        <x:is>
          <x:t xml:space="preserve">https://pub.epsilon.slu.se/17485/1/malefors_c_et_al_200903.pdf</x:t>
        </x:is>
      </x:c>
      <x:c r="E28" s="13" t="n"/>
    </x:row>
    <x:row r="29">
      <x:c r="A29" s="11" t="n"/>
      <x:c r="B29" s="11" t="n"/>
      <x:c r="C29" s="11" t="n"/>
      <x:c r="D29" s="11" t="n"/>
    </x:row>
    <x:row r="30">
      <x:c r="A30" s="11" t="n"/>
      <x:c r="B30" s="11" t="n"/>
      <x:c r="C30" s="11" t="n"/>
      <x:c r="D30" s="11" t="n"/>
    </x:row>
    <x:row r="31">
      <x:c r="A31" s="11" t="n"/>
      <x:c r="B31" s="11" t="n"/>
      <x:c r="C31" s="11" t="n"/>
      <x:c r="D31" s="11" t="n"/>
    </x:row>
    <x:row r="32" s="12" customFormat="1" ht="22.5" customHeight="1">
      <x:c r="A32" s="11" t="inlineStr">
        <x:is>
          <x:t xml:space="preserve">ID</x:t>
        </x:is>
      </x:c>
      <x:c r="B32" s="11" t="inlineStr">
        <x:is>
          <x:t xml:space="preserve">Título original</x:t>
        </x:is>
      </x:c>
      <x:c r="C32" s="11" t="inlineStr">
        <x:is>
          <x:t xml:space="preserve">Título em português</x:t>
        </x:is>
      </x:c>
      <x:c r="D32" s="11" t="inlineStr">
        <x:is>
          <x:t xml:space="preserve">Link</x:t>
        </x:is>
      </x:c>
      <x:c r="E32" s="11" t="inlineStr">
        <x:is>
          <x:t xml:space="preserve">Status</x:t>
        </x:is>
      </x:c>
    </x:row>
    <x:row r="33" s="12" customFormat="1" ht="22.5" customHeight="1">
      <x:c r="A33" s="11" t="inlineStr">
        <x:is>
          <x:t xml:space="preserve">A01</x:t>
        </x:is>
      </x:c>
      <x:c r="B33" s="11" t="inlineStr">
        <x:is>
          <x:t xml:space="preserve">Sustentabilidade na mesa: redução do desperdício alimentar em uma Instituição de Ensino com previsão de demanda por aprendizado de máquina</x:t>
        </x:is>
      </x:c>
      <x:c r="C33" s="11" t="inlineStr">
        <x:is>
          <x:t xml:space="preserve">Sustentabilidade na mesa: redução do desperdício alimentar em uma instituição de ensino com previsão de demanda por aprendizado de máquina</x:t>
        </x:is>
      </x:c>
      <x:c r="D33" s="11" t="n"/>
      <x:c r="E33" s="11" t="inlineStr">
        <x:is>
          <x:t xml:space="preserve">Ok</x:t>
        </x:is>
      </x:c>
    </x:row>
    <x:row r="34" s="12" customFormat="1" ht="22.5" customHeight="1">
      <x:c r="A34" s="11" t="inlineStr">
        <x:is>
          <x:t xml:space="preserve">A03</x:t>
        </x:is>
      </x:c>
      <x:c r="B34" s="11" t="inlineStr">
        <x:is>
          <x:t xml:space="preserve">Gestão de Suprimentos em Sistemas Produtivos: uma abordagem preditiva com Ciência de Dados e Inteligência Artificial</x:t>
        </x:is>
      </x:c>
      <x:c r="C34" s="11" t="inlineStr">
        <x:is>
          <x:t xml:space="preserve">Gestão de suprimentos em sistemas produtivos: uma abordagem preditiva com ciência de dados e inteligência artificial</x:t>
        </x:is>
      </x:c>
      <x:c r="D34" s="11" t="n"/>
      <x:c r="E34" s="11" t="inlineStr">
        <x:is>
          <x:t xml:space="preserve">Ok</x:t>
        </x:is>
      </x:c>
    </x:row>
    <x:row r="35" s="12" customFormat="1" ht="22.5" customHeight="1">
      <x:c r="A35" s="11" t="inlineStr">
        <x:is>
          <x:t xml:space="preserve">A009</x:t>
        </x:is>
      </x:c>
      <x:c r="B35" s="11" t="inlineStr">
        <x:is>
          <x:t xml:space="preserve">State-of-the-art in artificial neural network applications: A survey</x:t>
        </x:is>
      </x:c>
      <x:c r="C35" s="11" t="inlineStr">
        <x:is>
          <x:t xml:space="preserve">Estado da arte em aplicações de redes neurais artificiais: uma revisão</x:t>
        </x:is>
      </x:c>
      <x:c r="D35" s="11" t="n"/>
      <x:c r="E35" s="11" t="n"/>
    </x:row>
    <x:row r="36" s="12" customFormat="1" ht="22.5" customHeight="1">
      <x:c r="A36" s="11" t="inlineStr">
        <x:is>
          <x:t xml:space="preserve">A011</x:t>
        </x:is>
      </x:c>
      <x:c r="B36" s="11" t="inlineStr">
        <x:is>
          <x:t xml:space="preserve">Deep Learning for AI</x:t>
        </x:is>
      </x:c>
      <x:c r="C36" s="11" t="inlineStr">
        <x:is>
          <x:t xml:space="preserve">Aprendizado profundo para inteligência artificial</x:t>
        </x:is>
      </x:c>
      <x:c r="D36" s="11" t="n"/>
      <x:c r="E36" s="11" t="n"/>
    </x:row>
    <x:row r="37" s="12" customFormat="1" ht="22.5" customHeight="1">
      <x:c r="A37" s="11" t="inlineStr">
        <x:is>
          <x:t xml:space="preserve">A012</x:t>
        </x:is>
      </x:c>
      <x:c r="B37" s="11" t="inlineStr">
        <x:is>
          <x:t xml:space="preserve">Data science: connotation, methods, technologies, and development</x:t>
        </x:is>
      </x:c>
      <x:c r="C37" s="11" t="inlineStr">
        <x:is>
          <x:t xml:space="preserve">Ciência de dados: significado, métodos, tecnologias e desenvolvimento</x:t>
        </x:is>
      </x:c>
      <x:c r="D37" s="11" t="n"/>
      <x:c r="E37" s="11" t="n"/>
    </x:row>
    <x:row r="38" s="12" customFormat="1" ht="22.5" customHeight="1">
      <x:c r="A38" s="11" t="inlineStr">
        <x:is>
          <x:t xml:space="preserve">A015</x:t>
        </x:is>
      </x:c>
      <x:c r="B38" s="11" t="inlineStr">
        <x:is>
          <x:t xml:space="preserve">Deep Learning Applied to Stock Prices: Epoch Adjustment in Training an LSTM Neural Network</x:t>
        </x:is>
      </x:c>
      <x:c r="C38" s="11" t="inlineStr">
        <x:is>
          <x:t xml:space="preserve">Aprendizado profundo aplicado a preços de ações: ajuste de épocas no treinamento de uma rede neural LSTM</x:t>
        </x:is>
      </x:c>
      <x:c r="D38" s="11" t="n"/>
      <x:c r="E38" s="11" t="n"/>
    </x:row>
    <x:row r="39" s="12" customFormat="1" ht="22.5" customHeight="1">
      <x:c r="A39" s="11" t="inlineStr">
        <x:is>
          <x:t xml:space="preserve">A018</x:t>
        </x:is>
      </x:c>
      <x:c r="B39" s="11" t="inlineStr">
        <x:is>
          <x:t xml:space="preserve">Unlocking the power of industrial artificial intelligence towards Industry 5.0: Insights, pathways, and challenges</x:t>
        </x:is>
      </x:c>
      <x:c r="C39" s="11" t="inlineStr">
        <x:is>
          <x:t xml:space="preserve">Desbloqueando o potencial da inteligência artificial industrial rumo à Indústria 5.0: insights, caminhos e desafios</x:t>
        </x:is>
      </x:c>
      <x:c r="D39" s="11" t="n"/>
      <x:c r="E39" s="11" t="n"/>
    </x:row>
    <x:row r="40" s="12" customFormat="1" ht="22.5" customHeight="1">
      <x:c r="A40" s="11" t="inlineStr">
        <x:is>
          <x:t xml:space="preserve">A019</x:t>
        </x:is>
      </x:c>
      <x:c r="B40" s="11" t="inlineStr">
        <x:is>
          <x:t xml:space="preserve">Toward a responsible future: recommendations for AI-enabled clinical decision support</x:t>
        </x:is>
      </x:c>
      <x:c r="C40" s="11" t="inlineStr">
        <x:is>
          <x:t xml:space="preserve">Rumo a um futuro responsável: recomendações para apoio à decisão clínica habilitado por IA</x:t>
        </x:is>
      </x:c>
      <x:c r="D40" s="11" t="n"/>
      <x:c r="E40" s="11" t="n"/>
    </x:row>
    <x:row r="41" s="12" customFormat="1" ht="22.5" customHeight="1">
      <x:c r="A41" s="11" t="inlineStr">
        <x:is>
          <x:t xml:space="preserve">A020</x:t>
        </x:is>
      </x:c>
      <x:c r="B41" s="11" t="inlineStr">
        <x:is>
          <x:t xml:space="preserve">Large language models are less effective at clinical prediction tasks than locally trained machine learning models</x:t>
        </x:is>
      </x:c>
      <x:c r="C41" s="11" t="inlineStr">
        <x:is>
          <x:t xml:space="preserve">Modelos de linguagem de grande porte são menos eficazes em tarefas de predição clínica do que modelos de aprendizado de máquina treinados localmente</x:t>
        </x:is>
      </x:c>
      <x:c r="D41" s="11" t="n"/>
      <x:c r="E41" s="11" t="n"/>
    </x:row>
    <x:row r="42" s="12" customFormat="1" ht="22.5" customHeight="1">
      <x:c r="A42" s="11" t="inlineStr">
        <x:is>
          <x:t xml:space="preserve">A022</x:t>
        </x:is>
      </x:c>
      <x:c r="B42" s="11" t="inlineStr">
        <x:is>
          <x:t xml:space="preserve">Network science and explainable AI-based life cycle management of sustainability models</x:t>
        </x:is>
      </x:c>
      <x:c r="C42" s="11" t="inlineStr">
        <x:is>
          <x:t xml:space="preserve">Ciência de redes e IA explicável no gerenciamento do ciclo de vida de modelos de sustentabilidade</x:t>
        </x:is>
      </x:c>
      <x:c r="D42" s="11" t="n"/>
      <x:c r="E42" s="11" t="n"/>
    </x:row>
    <x:row r="43" s="12" customFormat="1" ht="22.5" customHeight="1">
      <x:c r="A43" s="11" t="inlineStr">
        <x:is>
          <x:t xml:space="preserve">A028</x:t>
        </x:is>
      </x:c>
      <x:c r="B43" s="11" t="inlineStr">
        <x:is>
          <x:t xml:space="preserve">An exploratory social media intervention for perception and behavior on eating away from home: A cluster randomized trial in Chongqing, China</x:t>
        </x:is>
      </x:c>
      <x:c r="C43" s="11" t="inlineStr">
        <x:is>
          <x:t xml:space="preserve">Intervenção exploratória em mídias sociais sobre percepção e comportamento ao comer fora de casa: ensaio randomizado por conglomerados em Chongqing, China</x:t>
        </x:is>
      </x:c>
      <x:c r="D43" s="11" t="n"/>
      <x:c r="E43" s="11" t="n"/>
    </x:row>
    <x:row r="44" s="12" customFormat="1" ht="22.5" customHeight="1">
      <x:c r="A44" s="11" t="inlineStr">
        <x:is>
          <x:t xml:space="preserve">A029</x:t>
        </x:is>
      </x:c>
      <x:c r="B44" s="11" t="inlineStr">
        <x:is>
          <x:t xml:space="preserve">From plate to palate: Sustainable solutions for upcycling food waste in restaurants and catering</x:t>
        </x:is>
      </x:c>
      <x:c r="C44" s="11" t="inlineStr">
        <x:is>
          <x:t xml:space="preserve">Do prato ao paladar: soluções sustentáveis para reaproveitamento de desperdício alimentar em restaurantes e alimentação coletiva</x:t>
        </x:is>
      </x:c>
      <x:c r="D44" s="11" t="n"/>
      <x:c r="E44" s="11" t="n"/>
    </x:row>
    <x:row r="45" s="12" customFormat="1" ht="22.5" customHeight="1">
      <x:c r="A45" s="11" t="inlineStr">
        <x:is>
          <x:t xml:space="preserve">A033</x:t>
        </x:is>
      </x:c>
      <x:c r="B45" s="11" t="inlineStr">
        <x:is>
          <x:t xml:space="preserve">Understanding the food waste behaviour in university students: An application of the theory of planned behaviour</x:t>
        </x:is>
      </x:c>
      <x:c r="C45" s="11" t="inlineStr">
        <x:is>
          <x:t xml:space="preserve">Compreendendo o comportamento de desperdício alimentar em estudantes universitários: aplicação da teoria do comportamento planejado</x:t>
        </x:is>
      </x:c>
      <x:c r="D45" s="11" t="n"/>
      <x:c r="E45" s="11" t="n"/>
    </x:row>
    <x:row r="46" s="12" customFormat="1" ht="22.5" customHeight="1">
      <x:c r="A46" s="11" t="inlineStr">
        <x:is>
          <x:t xml:space="preserve">A037</x:t>
        </x:is>
      </x:c>
      <x:c r="B46" s="11" t="inlineStr">
        <x:is>
          <x:t xml:space="preserve">What a waste? An experience in a secondary school in Malaysia of a food waste management system (FWMS)</x:t>
        </x:is>
      </x:c>
      <x:c r="C46" s="11" t="inlineStr">
        <x:is>
          <x:t xml:space="preserve">Que desperdício? Experiência em uma escola secundária da Malásia com um sistema de gestão de desperdício alimentar</x:t>
        </x:is>
      </x:c>
      <x:c r="D46" s="11" t="n"/>
      <x:c r="E46" s="11" t="n"/>
    </x:row>
    <x:row r="47" s="12" customFormat="1" ht="22.5" customHeight="1">
      <x:c r="A47" s="11" t="inlineStr">
        <x:is>
          <x:t xml:space="preserve">A040</x:t>
        </x:is>
      </x:c>
      <x:c r="B47" s="11" t="inlineStr">
        <x:is>
          <x:t xml:space="preserve">Food waste in restaurants: A qualitative investigation of chefs’ practices</x:t>
        </x:is>
      </x:c>
      <x:c r="C47" s="11" t="inlineStr">
        <x:is>
          <x:t xml:space="preserve">Desperdício alimentar em restaurantes: investigação qualitativa das práticas de chefs</x:t>
        </x:is>
      </x:c>
      <x:c r="D47" s="11" t="n"/>
      <x:c r="E47" s="11" t="n"/>
    </x:row>
    <x:row r="48" s="12" customFormat="1" ht="22.5" customHeight="1">
      <x:c r="A48" s="11" t="inlineStr">
        <x:is>
          <x:t xml:space="preserve">A042</x:t>
        </x:is>
      </x:c>
      <x:c r="B48" s="11" t="inlineStr">
        <x:is>
          <x:t xml:space="preserve">School Lunch Advisory Councils’ use of behavioural economics influences vegetable selection and waste</x:t>
        </x:is>
      </x:c>
      <x:c r="C48" s="11" t="inlineStr">
        <x:is>
          <x:t xml:space="preserve">Uso de economia comportamental por Conselhos de Almoço Escolar influencia seleção e desperdício de vegetais</x:t>
        </x:is>
      </x:c>
      <x:c r="D48" s="11" t="n"/>
      <x:c r="E48" s="11" t="n"/>
    </x:row>
    <x:row r="49" s="12" customFormat="1" ht="22.5" customHeight="1">
      <x:c r="A49" s="11" t="inlineStr">
        <x:is>
          <x:t xml:space="preserve">A044</x:t>
        </x:is>
      </x:c>
      <x:c r="B49" s="11" t="inlineStr">
        <x:is>
          <x:t xml:space="preserve">School Nutrition Policies and Practices on an American Indian Reservation: Research and Policy Considerations</x:t>
        </x:is>
      </x:c>
      <x:c r="C49" s="11" t="inlineStr">
        <x:is>
          <x:t xml:space="preserve">Políticas e práticas de nutrição escolar em uma reserva indígena norte-americana: considerações de pesquisa e política</x:t>
        </x:is>
      </x:c>
      <x:c r="D49" s="11" t="n"/>
      <x:c r="E49" s="11" t="n"/>
    </x:row>
    <x:row r="50" s="12" customFormat="1" ht="22.5" customHeight="1">
      <x:c r="A50" s="11" t="inlineStr">
        <x:is>
          <x:t xml:space="preserve">A049</x:t>
        </x:is>
      </x:c>
      <x:c r="B50" s="11" t="inlineStr">
        <x:is>
          <x:t xml:space="preserve">Using machine learning method to predict food waste in catering industry under high resolution: a case in Dongguan</x:t>
        </x:is>
      </x:c>
      <x:c r="C50" s="11" t="inlineStr">
        <x:is>
          <x:t xml:space="preserve">Uso de aprendizado de máquina para prever desperdício de alimentos no setor de alimentação fora do lar em alta resolução: um caso em Dongguan</x:t>
        </x:is>
      </x:c>
      <x:c r="D50" s="11" t="n"/>
      <x:c r="E50" s="11" t="n"/>
    </x:row>
    <x:row r="51" s="12" customFormat="1" ht="22.5" customHeight="1">
      <x:c r="A51" s="11" t="inlineStr">
        <x:is>
          <x:t xml:space="preserve">A050</x:t>
        </x:is>
      </x:c>
      <x:c r="B51" s="11" t="inlineStr">
        <x:is>
          <x:t xml:space="preserve">Improving the overall sustainability of the school meal chain: the role of portion sizes</x:t>
        </x:is>
      </x:c>
      <x:c r="C51" s="11" t="inlineStr">
        <x:is>
          <x:t xml:space="preserve">Melhoria da sustentabilidade da cadeia de refeições escolares: o papel do tamanho das porções</x:t>
        </x:is>
      </x:c>
      <x:c r="D51" s="11" t="n"/>
      <x:c r="E51" s="11" t="n"/>
    </x:row>
    <x:row r="52" s="12" customFormat="1" ht="22.5" customHeight="1">
      <x:c r="A52" s="11" t="inlineStr">
        <x:is>
          <x:t xml:space="preserve">A052</x:t>
        </x:is>
      </x:c>
      <x:c r="B52" s="11" t="inlineStr">
        <x:is>
          <x:t xml:space="preserve">Association Between Socio-Demographic Characteristics and Household Food Waste Behaviors Among University Students in Italy: The UniFoodWaste Study</x:t>
        </x:is>
      </x:c>
      <x:c r="C52" s="11" t="inlineStr">
        <x:is>
          <x:t xml:space="preserve">Associação entre características sociodemográficas e comportamentos de desperdício alimentar domiciliar entre estudantes universitários na Itália: estudo UniFoodWaste</x:t>
        </x:is>
      </x:c>
      <x:c r="D52" s="11" t="n"/>
      <x:c r="E52" s="11" t="n"/>
    </x:row>
    <x:row r="53" s="12" customFormat="1" ht="22.5" customHeight="1">
      <x:c r="A53" s="11" t="inlineStr">
        <x:is>
          <x:t xml:space="preserve">A054</x:t>
        </x:is>
      </x:c>
      <x:c r="B53" s="11" t="inlineStr">
        <x:is>
          <x:t xml:space="preserve">Attention Is All You Need</x:t>
        </x:is>
      </x:c>
      <x:c r="C53" s="11" t="inlineStr">
        <x:is>
          <x:t xml:space="preserve">Atenção é tudo de que você precisa</x:t>
        </x:is>
      </x:c>
      <x:c r="D53" s="11" t="n"/>
      <x:c r="E53" s="11" t="n"/>
    </x:row>
    <x:row r="54" s="12" customFormat="1" ht="22.5" customHeight="1">
      <x:c r="A54" s="11" t="inlineStr">
        <x:is>
          <x:t xml:space="preserve">A055</x:t>
        </x:is>
      </x:c>
      <x:c r="B54" s="11" t="inlineStr">
        <x:is>
          <x:t xml:space="preserve">BERT: Pre-training of Deep Bidirectional Transformers for Language Understanding</x:t>
        </x:is>
      </x:c>
      <x:c r="C54" s="11" t="inlineStr">
        <x:is>
          <x:t xml:space="preserve">BERT: pré-treinamento de Transformers bidirecionais profundos para compreensão de linguagem</x:t>
        </x:is>
      </x:c>
      <x:c r="D54" s="11" t="n"/>
      <x:c r="E54" s="11" t="n"/>
    </x:row>
    <x:row r="55" s="12" customFormat="1" ht="22.5" customHeight="1">
      <x:c r="A55" s="11" t="inlineStr">
        <x:is>
          <x:t xml:space="preserve">A056</x:t>
        </x:is>
      </x:c>
      <x:c r="B55" s="11" t="inlineStr">
        <x:is>
          <x:t xml:space="preserve">CatBoost: gradient boosting with categorical features support</x:t>
        </x:is>
      </x:c>
      <x:c r="C55" s="11" t="inlineStr">
        <x:is>
          <x:t xml:space="preserve">CatBoost: gradient boosting com suporte a variáveis categóricas</x:t>
        </x:is>
      </x:c>
      <x:c r="D55" s="11" t="n"/>
      <x:c r="E55" s="11" t="n"/>
    </x:row>
    <x:row r="56" s="12" customFormat="1" ht="22.5" customHeight="1">
      <x:c r="A56" s="11" t="inlineStr">
        <x:is>
          <x:t xml:space="preserve">A060</x:t>
        </x:is>
      </x:c>
      <x:c r="B56" s="11" t="inlineStr">
        <x:is>
          <x:t xml:space="preserve">Root mean square error (RMSE) or mean absolute error (MAE)? Arguments against avoiding RMSE in the literature</x:t>
        </x:is>
      </x:c>
      <x:c r="C56" s="11" t="inlineStr">
        <x:is>
          <x:t xml:space="preserve">RMSE ou MAE? Argumentos contra evitar RMSE na literatura</x:t>
        </x:is>
      </x:c>
      <x:c r="D56" s="11" t="n"/>
      <x:c r="E56" s="11" t="n"/>
    </x:row>
    <x:row r="57" s="12" customFormat="1" ht="22.5" customHeight="1">
      <x:c r="A57" s="11" t="inlineStr">
        <x:is>
          <x:t xml:space="preserve">A061</x:t>
        </x:is>
      </x:c>
      <x:c r="B57" s="11" t="inlineStr">
        <x:is>
          <x:t xml:space="preserve">The Sciences of the Artificial</x:t>
        </x:is>
      </x:c>
      <x:c r="C57" s="11" t="inlineStr">
        <x:is>
          <x:t xml:space="preserve">As ciências do artificial</x:t>
        </x:is>
      </x:c>
      <x:c r="D57" s="11" t="n"/>
      <x:c r="E57" s="11" t="n"/>
    </x:row>
    <x:row r="58" s="12" customFormat="1" ht="22.5" customHeight="1">
      <x:c r="A58" s="11" t="inlineStr">
        <x:is>
          <x:t xml:space="preserve">A062</x:t>
        </x:is>
      </x:c>
      <x:c r="B58" s="11" t="inlineStr">
        <x:is>
          <x:t xml:space="preserve">XGBoost: A Scalable Tree Boosting System</x:t>
        </x:is>
      </x:c>
      <x:c r="C58" s="11" t="inlineStr">
        <x:is>
          <x:t xml:space="preserve">XGBoost: um sistema escalável de árvores com boosting</x:t>
        </x:is>
      </x:c>
      <x:c r="D58" s="11" t="n"/>
      <x:c r="E58" s="11" t="n"/>
    </x:row>
    <x:row r="59">
      <x:c r="A59" s="11" t="n"/>
      <x:c r="B59" s="11" t="n"/>
      <x:c r="C59" s="11" t="n"/>
      <x:c r="D59" s="11" t="n"/>
    </x:row>
    <x:row r="60">
      <x:c r="A60" s="11" t="n"/>
      <x:c r="B60" s="11" t="n"/>
      <x:c r="C60" s="11" t="n"/>
      <x:c r="D60" s="11" t="n"/>
    </x:row>
    <x:row r="61">
      <x:c r="A61" s="11" t="n"/>
      <x:c r="B61" s="11" t="n"/>
      <x:c r="C61" s="11" t="n"/>
      <x:c r="D61" s="11" t="n"/>
    </x:row>
    <x:row r="62" s="12" customFormat="1" ht="22.5" customHeight="1">
      <x:c r="A62" s="11" t="inlineStr">
        <x:is>
          <x:t xml:space="preserve">ID</x:t>
        </x:is>
      </x:c>
      <x:c r="B62" s="11" t="inlineStr">
        <x:is>
          <x:t xml:space="preserve">Título original</x:t>
        </x:is>
      </x:c>
      <x:c r="C62" s="11" t="inlineStr">
        <x:is>
          <x:t xml:space="preserve">Título em português</x:t>
        </x:is>
      </x:c>
      <x:c r="D62" s="11" t="inlineStr">
        <x:is>
          <x:t xml:space="preserve">Link</x:t>
        </x:is>
      </x:c>
      <x:c r="E62" s="11" t="inlineStr">
        <x:is>
          <x:t xml:space="preserve">Status</x:t>
        </x:is>
      </x:c>
    </x:row>
    <x:row r="63" s="12" customFormat="1" ht="22.5" customHeight="1">
      <x:c r="A63" s="11" t="inlineStr">
        <x:is>
          <x:t xml:space="preserve">A04</x:t>
        </x:is>
      </x:c>
      <x:c r="B63" s="11" t="inlineStr">
        <x:is>
          <x:t xml:space="preserve">Gestão Eficiente de Restaurantes Universitários: Análise Exploratória de Dados e Simulação Probabilística para Redução de Desperdícios</x:t>
        </x:is>
      </x:c>
      <x:c r="C63" s="11" t="inlineStr">
        <x:is>
          <x:t xml:space="preserve">Gestão eficiente de restaurantes universitários: análise exploratória de dados e simulação probabilística para redução de desperdícios</x:t>
        </x:is>
      </x:c>
      <x:c r="D63" s="11" t="n"/>
      <x:c r="E63" s="11" t="n"/>
    </x:row>
    <x:row r="64" s="12" customFormat="1" ht="22.5" customHeight="1">
      <x:c r="A64" s="11" t="inlineStr">
        <x:is>
          <x:t xml:space="preserve">A006</x:t>
        </x:is>
      </x:c>
      <x:c r="B64" s="11" t="inlineStr">
        <x:is>
          <x:t xml:space="preserve">Unsupervised machine learning in urban studies: A systematic review of applications</x:t>
        </x:is>
      </x:c>
      <x:c r="C64" s="11" t="inlineStr">
        <x:is>
          <x:t xml:space="preserve">Aprendizado de máquina não supervisionado em estudos urbanos: uma revisão sistemática de aplicações</x:t>
        </x:is>
      </x:c>
      <x:c r="D64" s="11" t="n"/>
      <x:c r="E64" s="11" t="n"/>
    </x:row>
    <x:row r="65" s="12" customFormat="1" ht="22.5" customHeight="1">
      <x:c r="A65" s="11" t="inlineStr">
        <x:is>
          <x:t xml:space="preserve">A008</x:t>
        </x:is>
      </x:c>
      <x:c r="B65" s="11" t="inlineStr">
        <x:is>
          <x:t xml:space="preserve">Identification and Detection of Cyberbullying on Facebook Using Machine Learning Algorithms</x:t>
        </x:is>
      </x:c>
      <x:c r="C65" s="11" t="inlineStr">
        <x:is>
          <x:t xml:space="preserve">Identificação e detecção de cyberbullying no Facebook usando algoritmos de aprendizado de máquina</x:t>
        </x:is>
      </x:c>
      <x:c r="D65" s="11" t="n"/>
      <x:c r="E65" s="11" t="n"/>
    </x:row>
    <x:row r="66" s="12" customFormat="1" ht="22.5" customHeight="1">
      <x:c r="A66" s="11" t="inlineStr">
        <x:is>
          <x:t xml:space="preserve">A013</x:t>
        </x:is>
      </x:c>
      <x:c r="B66" s="11" t="inlineStr">
        <x:is>
          <x:t xml:space="preserve">A Survey on Evaluation of Large Language Models</x:t>
        </x:is>
      </x:c>
      <x:c r="C66" s="11" t="inlineStr">
        <x:is>
          <x:t xml:space="preserve">Uma revisão sobre avaliação de grandes modelos de linguagem</x:t>
        </x:is>
      </x:c>
      <x:c r="D66" s="11" t="n"/>
      <x:c r="E66" s="11" t="n"/>
    </x:row>
    <x:row r="67" s="12" customFormat="1" ht="22.5" customHeight="1">
      <x:c r="A67" s="11" t="inlineStr">
        <x:is>
          <x:t xml:space="preserve">A014</x:t>
        </x:is>
      </x:c>
      <x:c r="B67" s="11" t="inlineStr">
        <x:is>
          <x:t xml:space="preserve">A Review on Large Language Models: Architectures, Applications, Taxonomies, Open Issues and Challenges</x:t>
        </x:is>
      </x:c>
      <x:c r="C67" s="11" t="inlineStr">
        <x:is>
          <x:t xml:space="preserve">Revisão sobre grandes modelos de linguagem: arquiteturas, aplicações, taxonomias, questões em aberto e desafios</x:t>
        </x:is>
      </x:c>
      <x:c r="D67" s="11" t="n"/>
      <x:c r="E67" s="11" t="n"/>
    </x:row>
    <x:row r="68" s="12" customFormat="1" ht="22.5" customHeight="1">
      <x:c r="A68" s="11" t="inlineStr">
        <x:is>
          <x:t xml:space="preserve">A017</x:t>
        </x:is>
      </x:c>
      <x:c r="B68" s="11" t="inlineStr">
        <x:is>
          <x:t xml:space="preserve">Comparative Analysis of Optimization Strategies for K-means Clustering in Big Data Contexts: A Review</x:t>
        </x:is>
      </x:c>
      <x:c r="C68" s="11" t="inlineStr">
        <x:is>
          <x:t xml:space="preserve">Análise comparativa de estratégias de otimização para agrupamento K-means em contextos de Big Data: uma revisão</x:t>
        </x:is>
      </x:c>
      <x:c r="D68" s="11" t="n"/>
      <x:c r="E68" s="11" t="n"/>
    </x:row>
    <x:row r="69" s="12" customFormat="1" ht="22.5" customHeight="1">
      <x:c r="A69" s="11" t="n"/>
      <x:c r="B69" s="11" t="inlineStr">
        <x:is>
          <x:t xml:space="preserve">Design of information management model based on multiobjective optimization algorithm in intelligent electric financial system</x:t>
        </x:is>
      </x:c>
      <x:c r="C69" s="11" t="inlineStr">
        <x:is>
          <x:t xml:space="preserve">Projeto de modelo de gestão da informação baseado em algoritmo de otimização multiobjetivo em sistema financeiro elétrico inteligente</x:t>
        </x:is>
      </x:c>
      <x:c r="D69" s="11" t="n"/>
      <x:c r="E69" s="11" t="n"/>
    </x:row>
    <x:row r="70" s="12" customFormat="1" ht="22.5" customHeight="1">
      <x:c r="A70" s="11" t="inlineStr">
        <x:is>
          <x:t xml:space="preserve">A030</x:t>
        </x:is>
      </x:c>
      <x:c r="B70" s="11" t="inlineStr">
        <x:is>
          <x:t xml:space="preserve">Revolutionizing food safety in the airline industry: AI-powered smart solutions</x:t>
        </x:is>
      </x:c>
      <x:c r="C70" s="11" t="inlineStr">
        <x:is>
          <x:t xml:space="preserve">Revolucionando a segurança alimentar na indústria aérea: soluções inteligentes baseadas em IA</x:t>
        </x:is>
      </x:c>
      <x:c r="D70" s="11" t="n"/>
      <x:c r="E70" s="11" t="n"/>
    </x:row>
    <x:row r="71" s="12" customFormat="1" ht="22.5" customHeight="1">
      <x:c r="A71" s="11" t="inlineStr">
        <x:is>
          <x:t xml:space="preserve">A034</x:t>
        </x:is>
      </x:c>
      <x:c r="B71" s="11" t="inlineStr">
        <x:is>
          <x:t xml:space="preserve">Factors Associated with School Lunch Consumption: Reverse Recess and School “Brunch”</x:t>
        </x:is>
      </x:c>
      <x:c r="C71" s="11" t="inlineStr">
        <x:is>
          <x:t xml:space="preserve">Fatores associados ao consumo de almoço escolar: recreio antes do almoço e “brunch” escolar</x:t>
        </x:is>
      </x:c>
      <x:c r="D71" s="11" t="n"/>
      <x:c r="E71" s="11" t="n"/>
    </x:row>
    <x:row r="72" s="12" customFormat="1" ht="22.5" customHeight="1">
      <x:c r="A72" s="11" t="inlineStr">
        <x:is>
          <x:t xml:space="preserve">A036</x:t>
        </x:is>
      </x:c>
      <x:c r="B72" s="11" t="inlineStr">
        <x:is>
          <x:t xml:space="preserve">New School Meal Regulations Increase Fruit Consumption and Do Not Increase Total Plate Waste</x:t>
        </x:is>
      </x:c>
      <x:c r="C72" s="11" t="inlineStr">
        <x:is>
          <x:t xml:space="preserve">Novas regulamentações de refeições escolares aumentam o consumo de frutas e não aumentam o desperdício total no prato</x:t>
        </x:is>
      </x:c>
      <x:c r="D72" s="11" t="n"/>
      <x:c r="E72" s="11" t="n"/>
    </x:row>
    <x:row r="73" s="12" customFormat="1" ht="22.5" customHeight="1">
      <x:c r="A73" s="11" t="inlineStr">
        <x:is>
          <x:t xml:space="preserve">A038</x:t>
        </x:is>
      </x:c>
      <x:c r="B73" s="11" t="inlineStr">
        <x:is>
          <x:t xml:space="preserve">Customer-centric circular economy as-a-service decision-making: Machine learning-driven open innovation in food service</x:t>
        </x:is>
      </x:c>
      <x:c r="C73" s="11" t="inlineStr">
        <x:is>
          <x:t xml:space="preserve">Tomada de decisão em economia circular como serviço centrada no cliente: inovação aberta orientada por aprendizado de máquina em serviços de alimentação</x:t>
        </x:is>
      </x:c>
      <x:c r="D73" s="11" t="n"/>
      <x:c r="E73" s="11" t="n"/>
    </x:row>
    <x:row r="74" s="12" customFormat="1" ht="22.5" customHeight="1">
      <x:c r="A74" s="11" t="inlineStr">
        <x:is>
          <x:t xml:space="preserve">A039</x:t>
        </x:is>
      </x:c>
      <x:c r="B74" s="11" t="inlineStr">
        <x:is>
          <x:t xml:space="preserve">Applications of machine learning tools for biological treatment of organic wastes: Perspectives and challenges</x:t>
        </x:is>
      </x:c>
      <x:c r="C74" s="11" t="inlineStr">
        <x:is>
          <x:t xml:space="preserve">Aplicações de ferramentas de aprendizado de máquina para tratamento biológico de resíduos orgânicos: perspectivas e desafios</x:t>
        </x:is>
      </x:c>
      <x:c r="D74" s="11" t="n"/>
      <x:c r="E74" s="11" t="n"/>
    </x:row>
    <x:row r="75" s="12" customFormat="1" ht="22.5" customHeight="1">
      <x:c r="A75" s="11" t="inlineStr">
        <x:is>
          <x:t xml:space="preserve">A045</x:t>
        </x:is>
      </x:c>
      <x:c r="B75" s="11" t="inlineStr">
        <x:is>
          <x:t xml:space="preserve">Environmental and Political Determinants of Food Choices: A Preliminary Study in a Croatian Sample</x:t>
        </x:is>
      </x:c>
      <x:c r="C75" s="11" t="inlineStr">
        <x:is>
          <x:t xml:space="preserve">Determinantes ambientais e políticos das escolhas alimentares: estudo preliminar em uma amostra croata</x:t>
        </x:is>
      </x:c>
      <x:c r="D75" s="11" t="n"/>
      <x:c r="E75" s="11" t="n"/>
    </x:row>
    <x:row r="76" s="12" customFormat="1" ht="22.5" customHeight="1">
      <x:c r="A76" s="11" t="inlineStr">
        <x:is>
          <x:t xml:space="preserve">A046</x:t>
        </x:is>
      </x:c>
      <x:c r="B76" s="11" t="inlineStr">
        <x:is>
          <x:t xml:space="preserve">COVID-19 and the National Lockdown: How Food Choice and Dietary Habits Changed for Families in the United Kingdom</x:t>
        </x:is>
      </x:c>
      <x:c r="C76" s="11" t="inlineStr">
        <x:is>
          <x:t xml:space="preserve">COVID-19 e o lockdown nacional: como escolhas alimentares e hábitos dietéticos mudaram em famílias no Reino Unido</x:t>
        </x:is>
      </x:c>
      <x:c r="D76" s="11" t="n"/>
      <x:c r="E76" s="11" t="n"/>
    </x:row>
    <x:row r="77" s="12" customFormat="1" ht="22.5" customHeight="1">
      <x:c r="A77" s="11" t="inlineStr">
        <x:is>
          <x:t xml:space="preserve">A048</x:t>
        </x:is>
      </x:c>
      <x:c r="B77" s="11" t="inlineStr">
        <x:is>
          <x:t xml:space="preserve">Socio-Demographic Factors, Behaviors, Motivations, and Attitudes in Food Waste Management of Romanian Households</x:t>
        </x:is>
      </x:c>
      <x:c r="C77" s="11" t="inlineStr">
        <x:is>
          <x:t xml:space="preserve">Fatores sociodemográficos, comportamentos, motivações e atitudes na gestão do desperdício alimentar em domicílios romenos</x:t>
        </x:is>
      </x:c>
      <x:c r="D77" s="11" t="n"/>
      <x:c r="E77" s="11" t="n"/>
    </x:row>
    <x:row r="78" s="12" customFormat="1" ht="22.5" customHeight="1">
      <x:c r="A78" s="11" t="inlineStr">
        <x:is>
          <x:t xml:space="preserve">A051</x:t>
        </x:is>
      </x:c>
      <x:c r="B78" s="11" t="inlineStr">
        <x:is>
          <x:t xml:space="preserve">Measuring the Level of Aflatoxin Infection in Pistachio Nuts by Applying Machine Learning Techniques to Hyperspectral Images</x:t>
        </x:is>
      </x:c>
      <x:c r="C78" s="11" t="inlineStr">
        <x:is>
          <x:t xml:space="preserve">Medição do nível de contaminação por aflatoxina em pistaches aplicando técnicas de aprendizado de máquina a imagens hiperespectrais</x:t>
        </x:is>
      </x:c>
      <x:c r="D78" s="11" t="n"/>
      <x:c r="E78" s="11" t="n"/>
    </x:row>
    <x:row r="79">
      <x:c r="A79" s="11" t="inlineStr">
        <x:is>
          <x:t xml:space="preserve">A070</x:t>
        </x:is>
      </x:c>
      <x:c r="B79" s="11" t="inlineStr">
        <x:is>
          <x:t xml:space="preserve">Mathematical model for scheduling food production in hospital catering</x:t>
        </x:is>
      </x:c>
      <x:c r="C79" s="11" t="inlineStr">
        <x:is>
          <x:t xml:space="preserve">Modelo matemático para programação da produção de alimentos em catering hospitalar</x:t>
        </x:is>
      </x:c>
      <x:c r="D79" s="11" t="inlineStr">
        <x:is>
          <x:t xml:space="preserve">https://ifatwww.et.uni-magdeburg.de/ifac2020/media/pdfs/3120.pdf</x:t>
        </x:is>
      </x:c>
      <x:c r="E79" s="13" t="n"/>
    </x:row>
    <x:row r="80">
      <x:c r="A80" s="11" t="n"/>
      <x:c r="B80" s="11" t="n"/>
      <x:c r="C80" s="11" t="n"/>
      <x:c r="D80" s="11" t="n"/>
    </x:row>
    <x:row r="81">
      <x:c r="A81" s="11" t="n"/>
      <x:c r="B81" s="11" t="n"/>
      <x:c r="C81" s="11" t="n"/>
      <x:c r="D81" s="11" t="n"/>
    </x:row>
    <x:row r="82">
      <x:c r="A82" s="11" t="n"/>
      <x:c r="B82" s="11" t="n"/>
      <x:c r="C82" s="11" t="n"/>
      <x:c r="D82" s="11" t="n"/>
    </x:row>
    <x:row r="83">
      <x:c r="A83" s="11" t="n"/>
      <x:c r="B83" s="11" t="n"/>
      <x:c r="C83" s="11" t="n"/>
      <x:c r="D83" s="11" t="n"/>
    </x:row>
    <x:row r="84">
      <x:c r="A84" s="11" t="n"/>
      <x:c r="B84" s="11" t="n"/>
      <x:c r="C84" s="11" t="n"/>
      <x:c r="D84" s="11" t="n"/>
    </x:row>
    <x:row r="85">
      <x:c r="A85" s="11" t="n"/>
      <x:c r="B85" s="11" t="n"/>
      <x:c r="C85" s="11" t="n"/>
      <x:c r="D85" s="11" t="n"/>
    </x:row>
    <x:row r="86">
      <x:c r="A86" s="11" t="n"/>
      <x:c r="B86" s="11" t="n"/>
      <x:c r="C86" s="11" t="n"/>
      <x:c r="D86" s="11" t="n"/>
    </x:row>
    <x:row r="87">
      <x:c r="A87" s="11" t="n"/>
      <x:c r="B87" s="11" t="n"/>
      <x:c r="C87" s="11" t="n"/>
      <x:c r="D87" s="11" t="n"/>
    </x:row>
    <x:row r="88">
      <x:c r="A88" s="11" t="n"/>
      <x:c r="B88" s="11" t="n"/>
      <x:c r="C88" s="11" t="n"/>
      <x:c r="D88" s="11" t="n"/>
    </x:row>
    <x:row r="89">
      <x:c r="A89" s="11" t="n"/>
      <x:c r="B89" s="11" t="n"/>
      <x:c r="C89" s="11" t="n"/>
      <x:c r="D89" s="11" t="n"/>
    </x:row>
    <x:row r="90">
      <x:c r="A90" s="11" t="n"/>
      <x:c r="B90" s="11" t="n"/>
      <x:c r="C90" s="11" t="n"/>
      <x:c r="D90" s="11" t="n"/>
    </x:row>
    <x:row r="91">
      <x:c r="A91" s="11" t="n"/>
      <x:c r="B91" s="11" t="n"/>
      <x:c r="C91" s="11" t="n"/>
      <x:c r="D91" s="11" t="n"/>
    </x:row>
    <x:row r="92">
      <x:c r="A92" s="11" t="n"/>
      <x:c r="B92" s="11" t="n"/>
      <x:c r="C92" s="11" t="n"/>
      <x:c r="D92" s="11" t="n"/>
    </x:row>
    <x:row r="93">
      <x:c r="A93" s="11" t="n"/>
      <x:c r="B93" s="11" t="n"/>
      <x:c r="C93" s="11" t="n"/>
      <x:c r="D93" s="11" t="n"/>
    </x:row>
    <x:row r="94">
      <x:c r="A94" s="11" t="n"/>
      <x:c r="B94" s="11" t="n"/>
      <x:c r="C94" s="11" t="n"/>
      <x:c r="D94" s="11" t="n"/>
    </x:row>
    <x:row r="95">
      <x:c r="A95" s="11" t="n"/>
      <x:c r="B95" s="11" t="n"/>
      <x:c r="C95" s="11" t="n"/>
      <x:c r="D95" s="11" t="n"/>
    </x:row>
    <x:row r="96">
      <x:c r="A96" s="11" t="n"/>
      <x:c r="B96" s="11" t="n"/>
      <x:c r="C96" s="11" t="n"/>
      <x:c r="D96" s="11" t="n"/>
    </x:row>
    <x:row r="97">
      <x:c r="A97" s="11" t="n"/>
      <x:c r="B97" s="11" t="n"/>
      <x:c r="C97" s="11" t="n"/>
      <x:c r="D97" s="11" t="n"/>
    </x:row>
    <x:row r="98">
      <x:c r="A98" s="11" t="n"/>
      <x:c r="B98" s="11" t="n"/>
      <x:c r="C98" s="11" t="n"/>
      <x:c r="D98" s="11" t="n"/>
    </x:row>
    <x:row r="99">
      <x:c r="A99" s="11" t="n"/>
      <x:c r="B99" s="11" t="n"/>
      <x:c r="C99" s="11" t="n"/>
      <x:c r="D99" s="11" t="n"/>
    </x:row>
    <x:row r="100">
      <x:c r="A100" s="11" t="n"/>
      <x:c r="B100" s="11" t="n"/>
      <x:c r="C100" s="11" t="n"/>
      <x:c r="D100" s="11" t="n"/>
    </x:row>
    <x:row r="101">
      <x:c r="A101" s="11" t="n"/>
      <x:c r="B101" s="11" t="n"/>
      <x:c r="C101" s="11" t="n"/>
      <x:c r="D101" s="11" t="n"/>
    </x:row>
    <x:row r="102">
      <x:c r="A102" s="11" t="n"/>
      <x:c r="B102" s="11" t="n"/>
      <x:c r="C102" s="11" t="n"/>
      <x:c r="D102" s="11" t="n"/>
    </x:row>
    <x:row r="103">
      <x:c r="A103" s="11" t="n"/>
      <x:c r="B103" s="11" t="n"/>
      <x:c r="C103" s="11" t="n"/>
      <x:c r="D103" s="11" t="n"/>
    </x:row>
    <x:row r="104">
      <x:c r="A104" s="11" t="n"/>
      <x:c r="B104" s="11" t="n"/>
      <x:c r="C104" s="11" t="n"/>
      <x:c r="D104" s="11" t="n"/>
    </x:row>
    <x:row r="105">
      <x:c r="A105" s="11" t="n"/>
      <x:c r="B105" s="11" t="n"/>
      <x:c r="C105" s="11" t="n"/>
      <x:c r="D105" s="11" t="n"/>
    </x:row>
    <x:row r="106">
      <x:c r="A106" s="11" t="n"/>
      <x:c r="B106" s="11" t="n"/>
      <x:c r="C106" s="11" t="n"/>
      <x:c r="D106" s="11" t="n"/>
    </x:row>
    <x:row r="107">
      <x:c r="A107" s="11" t="n"/>
      <x:c r="B107" s="11" t="n"/>
      <x:c r="C107" s="11" t="n"/>
      <x:c r="D107" s="11" t="n"/>
    </x:row>
    <x:row r="108">
      <x:c r="A108" s="11" t="n"/>
      <x:c r="B108" s="11" t="n"/>
      <x:c r="C108" s="11" t="n"/>
      <x:c r="D108" s="11" t="n"/>
    </x:row>
    <x:row r="109">
      <x:c r="A109" s="11" t="n"/>
      <x:c r="B109" s="11" t="n"/>
      <x:c r="C109" s="11" t="n"/>
      <x:c r="D109" s="11" t="n"/>
    </x:row>
    <x:row r="110">
      <x:c r="A110" s="11" t="n"/>
      <x:c r="B110" s="11" t="n"/>
      <x:c r="C110" s="11" t="n"/>
      <x:c r="D110" s="11" t="n"/>
    </x:row>
    <x:row r="111">
      <x:c r="A111" s="11" t="n"/>
      <x:c r="B111" s="11" t="n"/>
      <x:c r="C111" s="11" t="n"/>
      <x:c r="D111" s="11" t="n"/>
    </x:row>
    <x:row r="112">
      <x:c r="A112" s="11" t="n"/>
      <x:c r="B112" s="11" t="n"/>
      <x:c r="C112" s="11" t="n"/>
      <x:c r="D112" s="11" t="n"/>
    </x:row>
    <x:row r="113">
      <x:c r="A113" s="11" t="n"/>
      <x:c r="B113" s="11" t="n"/>
      <x:c r="C113" s="11" t="n"/>
      <x:c r="D113" s="11" t="n"/>
    </x:row>
    <x:row r="114">
      <x:c r="A114" s="11" t="n"/>
      <x:c r="B114" s="11" t="n"/>
      <x:c r="C114" s="11" t="n"/>
      <x:c r="D114" s="11" t="n"/>
    </x:row>
    <x:row r="115">
      <x:c r="A115" s="11" t="n"/>
      <x:c r="B115" s="11" t="n"/>
      <x:c r="C115" s="11" t="n"/>
      <x:c r="D115" s="11" t="n"/>
    </x:row>
    <x:row r="116">
      <x:c r="A116" s="11" t="n"/>
      <x:c r="B116" s="11" t="n"/>
      <x:c r="C116" s="11" t="n"/>
      <x:c r="D116" s="11" t="n"/>
    </x:row>
    <x:row r="117">
      <x:c r="A117" s="11" t="n"/>
      <x:c r="B117" s="11" t="n"/>
      <x:c r="C117" s="11" t="n"/>
      <x:c r="D117" s="11" t="n"/>
    </x:row>
    <x:row r="118">
      <x:c r="A118" s="11" t="n"/>
      <x:c r="B118" s="11" t="n"/>
      <x:c r="C118" s="11" t="n"/>
      <x:c r="D118" s="11" t="n"/>
    </x:row>
    <x:row r="119">
      <x:c r="A119" s="11" t="n"/>
      <x:c r="B119" s="11" t="n"/>
      <x:c r="C119" s="11" t="n"/>
      <x:c r="D119" s="11" t="n"/>
    </x:row>
    <x:row r="120">
      <x:c r="A120" s="11" t="n"/>
      <x:c r="B120" s="11" t="n"/>
      <x:c r="C120" s="11" t="n"/>
      <x:c r="D120" s="11" t="n"/>
    </x:row>
    <x:row r="121">
      <x:c r="A121" s="11" t="n"/>
      <x:c r="B121" s="11" t="n"/>
      <x:c r="C121" s="11" t="n"/>
      <x:c r="D121" s="11" t="n"/>
    </x:row>
    <x:row r="122">
      <x:c r="A122" s="11" t="n"/>
      <x:c r="B122" s="11" t="n"/>
      <x:c r="C122" s="11" t="n"/>
      <x:c r="D122" s="11" t="n"/>
    </x:row>
    <x:row r="123">
      <x:c r="A123" s="11" t="n"/>
      <x:c r="B123" s="11" t="n"/>
      <x:c r="C123" s="11" t="n"/>
      <x:c r="D123" s="11" t="n"/>
    </x:row>
    <x:row r="124">
      <x:c r="A124" s="11" t="n"/>
      <x:c r="B124" s="11" t="n"/>
      <x:c r="C124" s="11" t="n"/>
      <x:c r="D124" s="11" t="n"/>
    </x:row>
    <x:row r="125">
      <x:c r="A125" s="11" t="n"/>
      <x:c r="B125" s="11" t="n"/>
      <x:c r="C125" s="11" t="n"/>
      <x:c r="D125" s="11" t="n"/>
    </x:row>
    <x:row r="126">
      <x:c r="A126" s="11" t="n"/>
      <x:c r="B126" s="11" t="n"/>
      <x:c r="C126" s="11" t="n"/>
      <x:c r="D126" s="11" t="n"/>
    </x:row>
    <x:row r="127">
      <x:c r="A127" s="11" t="n"/>
      <x:c r="B127" s="11" t="n"/>
      <x:c r="C127" s="11" t="n"/>
      <x:c r="D127" s="11" t="n"/>
    </x:row>
    <x:row r="128">
      <x:c r="A128" s="11" t="n"/>
      <x:c r="B128" s="11" t="n"/>
      <x:c r="C128" s="11" t="n"/>
      <x:c r="D128" s="11" t="n"/>
    </x:row>
    <x:row r="129">
      <x:c r="A129" s="11" t="n"/>
      <x:c r="B129" s="11" t="n"/>
      <x:c r="C129" s="11" t="n"/>
      <x:c r="D129" s="11" t="n"/>
    </x:row>
    <x:row r="130">
      <x:c r="A130" s="11" t="n"/>
      <x:c r="B130" s="11" t="n"/>
      <x:c r="C130" s="11" t="n"/>
      <x:c r="D130" s="11" t="n"/>
    </x:row>
    <x:row r="131">
      <x:c r="A131" s="11" t="n"/>
      <x:c r="B131" s="11" t="n"/>
      <x:c r="C131" s="11" t="n"/>
      <x:c r="D131" s="11" t="n"/>
    </x:row>
    <x:row r="132">
      <x:c r="A132" s="11" t="n"/>
      <x:c r="B132" s="11" t="n"/>
      <x:c r="C132" s="11" t="n"/>
      <x:c r="D132" s="11" t="n"/>
    </x:row>
    <x:row r="133">
      <x:c r="A133" s="11" t="n"/>
      <x:c r="B133" s="11" t="n"/>
      <x:c r="C133" s="11" t="n"/>
      <x:c r="D133" s="11" t="n"/>
    </x:row>
    <x:row r="134">
      <x:c r="A134" s="11" t="n"/>
      <x:c r="B134" s="11" t="n"/>
      <x:c r="C134" s="11" t="n"/>
      <x:c r="D134" s="11" t="n"/>
    </x:row>
    <x:row r="135">
      <x:c r="A135" s="11" t="n"/>
      <x:c r="B135" s="11" t="n"/>
      <x:c r="C135" s="11" t="n"/>
      <x:c r="D135" s="11" t="n"/>
    </x:row>
    <x:row r="136">
      <x:c r="A136" s="11" t="n"/>
      <x:c r="B136" s="11" t="n"/>
      <x:c r="C136" s="11" t="n"/>
      <x:c r="D136" s="11" t="n"/>
    </x:row>
    <x:row r="137">
      <x:c r="A137" s="11" t="n"/>
      <x:c r="B137" s="11" t="n"/>
      <x:c r="C137" s="11" t="n"/>
      <x:c r="D137" s="11" t="n"/>
    </x:row>
    <x:row r="138">
      <x:c r="A138" s="11" t="n"/>
      <x:c r="B138" s="11" t="n"/>
      <x:c r="C138" s="11" t="n"/>
      <x:c r="D138" s="11" t="n"/>
    </x:row>
    <x:row r="139">
      <x:c r="A139" s="11" t="n"/>
      <x:c r="B139" s="11" t="n"/>
      <x:c r="C139" s="11" t="n"/>
      <x:c r="D139" s="11" t="n"/>
    </x:row>
    <x:row r="140">
      <x:c r="A140" s="11" t="n"/>
      <x:c r="B140" s="11" t="n"/>
      <x:c r="C140" s="11" t="n"/>
      <x:c r="D140" s="11" t="n"/>
    </x:row>
    <x:row r="141">
      <x:c r="A141" s="11" t="n"/>
      <x:c r="B141" s="11" t="n"/>
      <x:c r="C141" s="11" t="n"/>
      <x:c r="D141" s="11" t="n"/>
    </x:row>
    <x:row r="142">
      <x:c r="A142" s="11" t="n"/>
      <x:c r="B142" s="11" t="n"/>
      <x:c r="C142" s="11" t="n"/>
      <x:c r="D142" s="11" t="n"/>
    </x:row>
    <x:row r="143">
      <x:c r="A143" s="11" t="n"/>
      <x:c r="B143" s="11" t="n"/>
      <x:c r="C143" s="11" t="n"/>
      <x:c r="D143" s="11" t="n"/>
    </x:row>
    <x:row r="144">
      <x:c r="A144" s="11" t="n"/>
      <x:c r="B144" s="11" t="n"/>
      <x:c r="C144" s="11" t="n"/>
      <x:c r="D144" s="11" t="n"/>
    </x:row>
    <x:row r="145">
      <x:c r="A145" s="11" t="n"/>
      <x:c r="B145" s="11" t="n"/>
      <x:c r="C145" s="11" t="n"/>
      <x:c r="D145" s="11" t="n"/>
    </x:row>
    <x:row r="146">
      <x:c r="A146" s="11" t="n"/>
      <x:c r="B146" s="11" t="n"/>
      <x:c r="C146" s="11" t="n"/>
      <x:c r="D146" s="11" t="n"/>
    </x:row>
    <x:row r="147">
      <x:c r="A147" s="11" t="n"/>
      <x:c r="B147" s="11" t="n"/>
      <x:c r="C147" s="11" t="n"/>
      <x:c r="D147" s="11" t="n"/>
    </x:row>
    <x:row r="148">
      <x:c r="A148" s="11" t="n"/>
      <x:c r="B148" s="11" t="n"/>
      <x:c r="C148" s="11" t="n"/>
      <x:c r="D148" s="11" t="n"/>
    </x:row>
    <x:row r="149">
      <x:c r="A149" s="11" t="n"/>
      <x:c r="B149" s="11" t="n"/>
      <x:c r="C149" s="11" t="n"/>
      <x:c r="D149" s="11" t="n"/>
    </x:row>
    <x:row r="150">
      <x:c r="A150" s="11" t="n"/>
      <x:c r="B150" s="11" t="n"/>
      <x:c r="C150" s="11" t="n"/>
      <x:c r="D150" s="11" t="n"/>
    </x:row>
    <x:row r="151">
      <x:c r="A151" s="11" t="n"/>
      <x:c r="B151" s="11" t="n"/>
      <x:c r="C151" s="11" t="n"/>
      <x:c r="D151" s="11" t="n"/>
    </x:row>
    <x:row r="152">
      <x:c r="A152" s="11" t="n"/>
      <x:c r="B152" s="11" t="n"/>
      <x:c r="C152" s="11" t="n"/>
      <x:c r="D152" s="11" t="n"/>
    </x:row>
    <x:row r="153">
      <x:c r="A153" s="11" t="n"/>
      <x:c r="B153" s="11" t="n"/>
      <x:c r="C153" s="11" t="n"/>
      <x:c r="D153" s="11" t="n"/>
    </x:row>
    <x:row r="154">
      <x:c r="A154" s="11" t="n"/>
      <x:c r="B154" s="11" t="n"/>
      <x:c r="C154" s="11" t="n"/>
      <x:c r="D154" s="11" t="n"/>
    </x:row>
    <x:row r="155">
      <x:c r="A155" s="11" t="n"/>
      <x:c r="B155" s="11" t="n"/>
      <x:c r="C155" s="11" t="n"/>
      <x:c r="D155" s="11" t="n"/>
    </x:row>
    <x:row r="156">
      <x:c r="A156" s="11" t="n"/>
      <x:c r="B156" s="11" t="n"/>
      <x:c r="C156" s="11" t="n"/>
      <x:c r="D156" s="11" t="n"/>
    </x:row>
    <x:row r="157">
      <x:c r="A157" s="11" t="n"/>
      <x:c r="B157" s="11" t="n"/>
      <x:c r="C157" s="11" t="n"/>
      <x:c r="D157" s="11" t="n"/>
    </x:row>
    <x:row r="158">
      <x:c r="A158" s="11" t="n"/>
      <x:c r="B158" s="11" t="n"/>
      <x:c r="C158" s="11" t="n"/>
      <x:c r="D158" s="11" t="n"/>
    </x:row>
    <x:row r="159">
      <x:c r="A159" s="11" t="n"/>
      <x:c r="B159" s="11" t="n"/>
      <x:c r="C159" s="11" t="n"/>
      <x:c r="D159" s="11" t="n"/>
    </x:row>
    <x:row r="160">
      <x:c r="A160" s="11" t="n"/>
      <x:c r="B160" s="11" t="n"/>
      <x:c r="C160" s="11" t="n"/>
      <x:c r="D160" s="11" t="n"/>
    </x:row>
    <x:row r="161">
      <x:c r="A161" s="11" t="n"/>
      <x:c r="B161" s="11" t="n"/>
      <x:c r="C161" s="11" t="n"/>
      <x:c r="D161" s="11" t="n"/>
    </x:row>
    <x:row r="162">
      <x:c r="A162" s="11" t="n"/>
      <x:c r="B162" s="11" t="n"/>
      <x:c r="C162" s="11" t="n"/>
      <x:c r="D162" s="11" t="n"/>
    </x:row>
    <x:row r="163">
      <x:c r="A163" s="11" t="n"/>
      <x:c r="B163" s="11" t="n"/>
      <x:c r="C163" s="11" t="n"/>
      <x:c r="D163" s="11" t="n"/>
    </x:row>
    <x:row r="164">
      <x:c r="A164" s="11" t="n"/>
      <x:c r="B164" s="11" t="n"/>
      <x:c r="C164" s="11" t="n"/>
      <x:c r="D164" s="11" t="n"/>
    </x:row>
    <x:row r="165">
      <x:c r="A165" s="11" t="n"/>
      <x:c r="B165" s="11" t="n"/>
      <x:c r="C165" s="11" t="n"/>
      <x:c r="D165" s="11" t="n"/>
    </x:row>
    <x:row r="166">
      <x:c r="A166" s="11" t="n"/>
      <x:c r="B166" s="11" t="n"/>
      <x:c r="C166" s="11" t="n"/>
      <x:c r="D166" s="11" t="n"/>
    </x:row>
    <x:row r="167">
      <x:c r="A167" s="11" t="n"/>
      <x:c r="B167" s="11" t="n"/>
      <x:c r="C167" s="11" t="n"/>
      <x:c r="D167" s="11" t="n"/>
    </x:row>
    <x:row r="168">
      <x:c r="A168" s="11" t="n"/>
      <x:c r="B168" s="11" t="n"/>
      <x:c r="C168" s="11" t="n"/>
      <x:c r="D168" s="11" t="n"/>
    </x:row>
    <x:row r="169">
      <x:c r="A169" s="11" t="n"/>
      <x:c r="B169" s="11" t="n"/>
      <x:c r="C169" s="11" t="n"/>
      <x:c r="D169" s="11" t="n"/>
    </x:row>
    <x:row r="170">
      <x:c r="A170" s="11" t="n"/>
      <x:c r="B170" s="11" t="n"/>
      <x:c r="C170" s="11" t="n"/>
      <x:c r="D170" s="11" t="n"/>
    </x:row>
    <x:row r="171">
      <x:c r="A171" s="11" t="n"/>
      <x:c r="B171" s="11" t="n"/>
      <x:c r="C171" s="11" t="n"/>
      <x:c r="D171" s="11" t="n"/>
    </x:row>
    <x:row r="172">
      <x:c r="A172" s="11" t="n"/>
      <x:c r="B172" s="11" t="n"/>
      <x:c r="C172" s="11" t="n"/>
      <x:c r="D172" s="11" t="n"/>
    </x:row>
    <x:row r="173">
      <x:c r="A173" s="11" t="n"/>
      <x:c r="B173" s="11" t="n"/>
      <x:c r="C173" s="11" t="n"/>
      <x:c r="D173" s="11" t="n"/>
    </x:row>
    <x:row r="174">
      <x:c r="A174" s="11" t="n"/>
      <x:c r="B174" s="11" t="n"/>
      <x:c r="C174" s="11" t="n"/>
      <x:c r="D174" s="11" t="n"/>
    </x:row>
    <x:row r="175">
      <x:c r="A175" s="11" t="n"/>
      <x:c r="B175" s="11" t="n"/>
      <x:c r="C175" s="11" t="n"/>
      <x:c r="D175" s="11" t="n"/>
    </x:row>
    <x:row r="176">
      <x:c r="A176" s="11" t="n"/>
      <x:c r="B176" s="11" t="n"/>
      <x:c r="C176" s="11" t="n"/>
      <x:c r="D176" s="11" t="n"/>
    </x:row>
    <x:row r="177">
      <x:c r="A177" s="11" t="n"/>
      <x:c r="B177" s="11" t="n"/>
      <x:c r="C177" s="11" t="n"/>
      <x:c r="D177" s="11" t="n"/>
    </x:row>
    <x:row r="178">
      <x:c r="A178" s="11" t="n"/>
      <x:c r="B178" s="11" t="n"/>
      <x:c r="C178" s="11" t="n"/>
      <x:c r="D178" s="11" t="n"/>
    </x:row>
    <x:row r="179">
      <x:c r="A179" s="11" t="n"/>
      <x:c r="B179" s="11" t="n"/>
      <x:c r="C179" s="11" t="n"/>
      <x:c r="D179" s="11" t="n"/>
    </x:row>
    <x:row r="180">
      <x:c r="A180" s="11" t="n"/>
      <x:c r="B180" s="11" t="n"/>
      <x:c r="C180" s="11" t="n"/>
      <x:c r="D180" s="11" t="n"/>
    </x:row>
    <x:row r="181">
      <x:c r="A181" s="11" t="n"/>
      <x:c r="B181" s="11" t="n"/>
      <x:c r="C181" s="11" t="n"/>
      <x:c r="D181" s="11" t="n"/>
    </x:row>
    <x:row r="182">
      <x:c r="A182" s="11" t="n"/>
      <x:c r="B182" s="11" t="n"/>
      <x:c r="C182" s="11" t="n"/>
      <x:c r="D182" s="11" t="n"/>
    </x:row>
    <x:row r="183">
      <x:c r="A183" s="11" t="n"/>
      <x:c r="B183" s="11" t="n"/>
      <x:c r="C183" s="11" t="n"/>
      <x:c r="D183" s="11" t="n"/>
    </x:row>
    <x:row r="184">
      <x:c r="A184" s="11" t="n"/>
      <x:c r="B184" s="11" t="n"/>
      <x:c r="C184" s="11" t="n"/>
      <x:c r="D184" s="11" t="n"/>
    </x:row>
    <x:row r="185">
      <x:c r="A185" s="11" t="n"/>
      <x:c r="B185" s="11" t="n"/>
      <x:c r="C185" s="11" t="n"/>
      <x:c r="D185" s="11" t="n"/>
    </x:row>
    <x:row r="186">
      <x:c r="A186" s="11" t="n"/>
      <x:c r="B186" s="11" t="n"/>
      <x:c r="C186" s="11" t="n"/>
      <x:c r="D186" s="11" t="n"/>
    </x:row>
    <x:row r="187">
      <x:c r="A187" s="11" t="n"/>
      <x:c r="B187" s="11" t="n"/>
      <x:c r="C187" s="11" t="n"/>
      <x:c r="D187" s="11" t="n"/>
    </x:row>
    <x:row r="188">
      <x:c r="A188" s="11" t="n"/>
      <x:c r="B188" s="11" t="n"/>
      <x:c r="C188" s="11" t="n"/>
      <x:c r="D188" s="11" t="n"/>
    </x:row>
    <x:row r="189">
      <x:c r="A189" s="11" t="n"/>
      <x:c r="B189" s="11" t="n"/>
      <x:c r="C189" s="11" t="n"/>
      <x:c r="D189" s="11" t="n"/>
    </x:row>
    <x:row r="190">
      <x:c r="A190" s="11" t="n"/>
      <x:c r="B190" s="11" t="n"/>
      <x:c r="C190" s="11" t="n"/>
      <x:c r="D190" s="11" t="n"/>
    </x:row>
    <x:row r="191">
      <x:c r="A191" s="11" t="n"/>
      <x:c r="B191" s="11" t="n"/>
      <x:c r="C191" s="11" t="n"/>
      <x:c r="D191" s="11" t="n"/>
    </x:row>
    <x:row r="192">
      <x:c r="A192" s="11" t="n"/>
      <x:c r="B192" s="11" t="n"/>
      <x:c r="C192" s="11" t="n"/>
      <x:c r="D192" s="11" t="n"/>
    </x:row>
    <x:row r="193">
      <x:c r="A193" s="11" t="n"/>
      <x:c r="B193" s="11" t="n"/>
      <x:c r="C193" s="11" t="n"/>
      <x:c r="D193" s="11" t="n"/>
    </x:row>
    <x:row r="194">
      <x:c r="A194" s="11" t="n"/>
      <x:c r="B194" s="11" t="n"/>
      <x:c r="C194" s="11" t="n"/>
      <x:c r="D194" s="11" t="n"/>
    </x:row>
    <x:row r="195">
      <x:c r="A195" s="11" t="n"/>
      <x:c r="B195" s="11" t="n"/>
      <x:c r="C195" s="11" t="n"/>
      <x:c r="D195" s="11" t="n"/>
    </x:row>
    <x:row r="196">
      <x:c r="A196" s="11" t="n"/>
      <x:c r="B196" s="11" t="n"/>
      <x:c r="C196" s="11" t="n"/>
      <x:c r="D196" s="11" t="n"/>
    </x:row>
    <x:row r="197">
      <x:c r="A197" s="11" t="n"/>
      <x:c r="B197" s="11" t="n"/>
      <x:c r="C197" s="11" t="n"/>
      <x:c r="D197" s="11" t="n"/>
    </x:row>
    <x:row r="198">
      <x:c r="A198" s="11" t="n"/>
      <x:c r="B198" s="11" t="n"/>
      <x:c r="C198" s="11" t="n"/>
      <x:c r="D198" s="11" t="n"/>
    </x:row>
    <x:row r="199">
      <x:c r="A199" s="11" t="n"/>
      <x:c r="B199" s="11" t="n"/>
      <x:c r="C199" s="11" t="n"/>
      <x:c r="D199" s="11" t="n"/>
    </x:row>
    <x:row r="200">
      <x:c r="A200" s="11" t="n"/>
      <x:c r="B200" s="11" t="n"/>
      <x:c r="C200" s="11" t="n"/>
      <x:c r="D200" s="11" t="n"/>
    </x:row>
    <x:row r="201">
      <x:c r="A201" s="11" t="n"/>
      <x:c r="B201" s="11" t="n"/>
      <x:c r="C201" s="11" t="n"/>
      <x:c r="D201" s="11" t="n"/>
    </x:row>
    <x:row r="202">
      <x:c r="A202" s="11" t="n"/>
      <x:c r="B202" s="11" t="n"/>
      <x:c r="C202" s="11" t="n"/>
      <x:c r="D202" s="11" t="n"/>
    </x:row>
    <x:row r="203">
      <x:c r="A203" s="11" t="n"/>
      <x:c r="B203" s="11" t="n"/>
      <x:c r="C203" s="11" t="n"/>
      <x:c r="D203" s="11" t="n"/>
    </x:row>
    <x:row r="204">
      <x:c r="A204" s="11" t="n"/>
      <x:c r="B204" s="11" t="n"/>
      <x:c r="C204" s="11" t="n"/>
      <x:c r="D204" s="11" t="n"/>
    </x:row>
    <x:row r="205">
      <x:c r="A205" s="11" t="n"/>
      <x:c r="B205" s="11" t="n"/>
      <x:c r="C205" s="11" t="n"/>
      <x:c r="D205" s="11" t="n"/>
    </x:row>
    <x:row r="206">
      <x:c r="A206" s="11" t="n"/>
      <x:c r="B206" s="11" t="n"/>
      <x:c r="C206" s="11" t="n"/>
      <x:c r="D206" s="11" t="n"/>
    </x:row>
    <x:row r="207">
      <x:c r="A207" s="11" t="n"/>
      <x:c r="B207" s="11" t="n"/>
      <x:c r="C207" s="11" t="n"/>
      <x:c r="D207" s="11" t="n"/>
    </x:row>
    <x:row r="208">
      <x:c r="A208" s="11" t="n"/>
      <x:c r="B208" s="11" t="n"/>
      <x:c r="C208" s="11" t="n"/>
      <x:c r="D208" s="11" t="n"/>
    </x:row>
    <x:row r="209">
      <x:c r="A209" s="11" t="n"/>
      <x:c r="B209" s="11" t="n"/>
      <x:c r="C209" s="11" t="n"/>
      <x:c r="D209" s="11" t="n"/>
    </x:row>
    <x:row r="210">
      <x:c r="A210" s="11" t="n"/>
      <x:c r="B210" s="11" t="n"/>
      <x:c r="C210" s="11" t="n"/>
      <x:c r="D210" s="11" t="n"/>
    </x:row>
    <x:row r="211">
      <x:c r="A211" s="11" t="n"/>
      <x:c r="B211" s="11" t="n"/>
      <x:c r="C211" s="11" t="n"/>
      <x:c r="D211" s="11" t="n"/>
    </x:row>
    <x:row r="212">
      <x:c r="A212" s="11" t="n"/>
      <x:c r="B212" s="11" t="n"/>
      <x:c r="C212" s="11" t="n"/>
      <x:c r="D212" s="11" t="n"/>
    </x:row>
    <x:row r="213">
      <x:c r="A213" s="11" t="n"/>
      <x:c r="B213" s="11" t="n"/>
      <x:c r="C213" s="11" t="n"/>
      <x:c r="D213" s="11" t="n"/>
    </x:row>
    <x:row r="214">
      <x:c r="A214" s="11" t="n"/>
      <x:c r="B214" s="11" t="n"/>
      <x:c r="C214" s="11" t="n"/>
      <x:c r="D214" s="11" t="n"/>
    </x:row>
    <x:row r="215">
      <x:c r="A215" s="11" t="n"/>
      <x:c r="B215" s="11" t="n"/>
      <x:c r="C215" s="11" t="n"/>
      <x:c r="D215" s="11" t="n"/>
    </x:row>
    <x:row r="216">
      <x:c r="A216" s="11" t="n"/>
      <x:c r="B216" s="11" t="n"/>
      <x:c r="C216" s="11" t="n"/>
      <x:c r="D216" s="11" t="n"/>
    </x:row>
    <x:row r="217">
      <x:c r="A217" s="11" t="n"/>
      <x:c r="B217" s="11" t="n"/>
      <x:c r="C217" s="11" t="n"/>
      <x:c r="D217" s="11" t="n"/>
    </x:row>
    <x:row r="218">
      <x:c r="A218" s="11" t="n"/>
      <x:c r="B218" s="11" t="n"/>
      <x:c r="C218" s="11" t="n"/>
      <x:c r="D218" s="11" t="n"/>
    </x:row>
    <x:row r="219">
      <x:c r="A219" s="11" t="n"/>
      <x:c r="B219" s="11" t="n"/>
      <x:c r="C219" s="11" t="n"/>
      <x:c r="D219" s="11" t="n"/>
    </x:row>
    <x:row r="220">
      <x:c r="A220" s="11" t="n"/>
      <x:c r="B220" s="11" t="n"/>
      <x:c r="C220" s="11" t="n"/>
      <x:c r="D220" s="11" t="n"/>
    </x:row>
    <x:row r="221">
      <x:c r="A221" s="11" t="n"/>
      <x:c r="B221" s="11" t="n"/>
      <x:c r="C221" s="11" t="n"/>
      <x:c r="D221" s="11" t="n"/>
    </x:row>
    <x:row r="222">
      <x:c r="A222" s="11" t="n"/>
      <x:c r="B222" s="11" t="n"/>
      <x:c r="C222" s="11" t="n"/>
      <x:c r="D222" s="11" t="n"/>
    </x:row>
    <x:row r="223">
      <x:c r="A223" s="11" t="n"/>
      <x:c r="B223" s="11" t="n"/>
      <x:c r="C223" s="11" t="n"/>
      <x:c r="D223" s="11" t="n"/>
    </x:row>
    <x:row r="224">
      <x:c r="A224" s="11" t="n"/>
      <x:c r="B224" s="11" t="n"/>
      <x:c r="C224" s="11" t="n"/>
      <x:c r="D224" s="11" t="n"/>
    </x:row>
    <x:row r="225">
      <x:c r="A225" s="11" t="n"/>
      <x:c r="B225" s="11" t="n"/>
      <x:c r="C225" s="11" t="n"/>
      <x:c r="D225" s="11" t="n"/>
    </x:row>
    <x:row r="226">
      <x:c r="A226" s="11" t="n"/>
      <x:c r="B226" s="11" t="n"/>
      <x:c r="C226" s="11" t="n"/>
      <x:c r="D226" s="11" t="n"/>
    </x:row>
    <x:row r="227">
      <x:c r="A227" s="11" t="n"/>
      <x:c r="B227" s="11" t="n"/>
      <x:c r="C227" s="11" t="n"/>
      <x:c r="D227" s="11" t="n"/>
    </x:row>
    <x:row r="228">
      <x:c r="A228" s="11" t="n"/>
      <x:c r="B228" s="11" t="n"/>
      <x:c r="C228" s="11" t="n"/>
      <x:c r="D228" s="11" t="n"/>
    </x:row>
    <x:row r="229">
      <x:c r="A229" s="11" t="n"/>
      <x:c r="B229" s="11" t="n"/>
      <x:c r="C229" s="11" t="n"/>
      <x:c r="D229" s="11" t="n"/>
    </x:row>
    <x:row r="230">
      <x:c r="A230" s="11" t="n"/>
      <x:c r="B230" s="11" t="n"/>
      <x:c r="C230" s="11" t="n"/>
      <x:c r="D230" s="11" t="n"/>
    </x:row>
    <x:row r="231">
      <x:c r="A231" s="11" t="n"/>
      <x:c r="B231" s="11" t="n"/>
      <x:c r="C231" s="11" t="n"/>
      <x:c r="D231" s="11" t="n"/>
    </x:row>
    <x:row r="232">
      <x:c r="A232" s="11" t="n"/>
      <x:c r="B232" s="11" t="n"/>
      <x:c r="C232" s="11" t="n"/>
      <x:c r="D232" s="11" t="n"/>
    </x:row>
    <x:row r="233">
      <x:c r="A233" s="11" t="n"/>
      <x:c r="B233" s="11" t="n"/>
      <x:c r="C233" s="11" t="n"/>
      <x:c r="D233" s="11" t="n"/>
    </x:row>
    <x:row r="234">
      <x:c r="A234" s="11" t="n"/>
      <x:c r="B234" s="11" t="n"/>
      <x:c r="C234" s="11" t="n"/>
      <x:c r="D234" s="11" t="n"/>
    </x:row>
    <x:row r="235">
      <x:c r="A235" s="11" t="n"/>
      <x:c r="B235" s="11" t="n"/>
      <x:c r="C235" s="11" t="n"/>
      <x:c r="D235" s="11" t="n"/>
    </x:row>
    <x:row r="236">
      <x:c r="A236" s="11" t="n"/>
      <x:c r="B236" s="11" t="n"/>
      <x:c r="C236" s="11" t="n"/>
      <x:c r="D236" s="11" t="n"/>
    </x:row>
    <x:row r="237">
      <x:c r="A237" s="11" t="n"/>
      <x:c r="B237" s="11" t="n"/>
      <x:c r="C237" s="11" t="n"/>
      <x:c r="D237" s="11" t="n"/>
    </x:row>
    <x:row r="238">
      <x:c r="A238" s="11" t="n"/>
      <x:c r="B238" s="11" t="n"/>
      <x:c r="C238" s="11" t="n"/>
      <x:c r="D238" s="11" t="n"/>
    </x:row>
    <x:row r="239">
      <x:c r="A239" s="11" t="n"/>
      <x:c r="B239" s="11" t="n"/>
      <x:c r="C239" s="11" t="n"/>
      <x:c r="D239" s="11" t="n"/>
    </x:row>
    <x:row r="240">
      <x:c r="A240" s="11" t="n"/>
      <x:c r="B240" s="11" t="n"/>
      <x:c r="C240" s="11" t="n"/>
      <x:c r="D240" s="11" t="n"/>
    </x:row>
    <x:row r="241">
      <x:c r="A241" s="11" t="n"/>
      <x:c r="B241" s="11" t="n"/>
      <x:c r="C241" s="11" t="n"/>
      <x:c r="D241" s="11" t="n"/>
    </x:row>
    <x:row r="242">
      <x:c r="A242" s="11" t="n"/>
      <x:c r="B242" s="11" t="n"/>
      <x:c r="C242" s="11" t="n"/>
      <x:c r="D242" s="11" t="n"/>
    </x:row>
    <x:row r="243">
      <x:c r="A243" s="11" t="n"/>
      <x:c r="B243" s="11" t="n"/>
      <x:c r="C243" s="11" t="n"/>
      <x:c r="D243" s="11" t="n"/>
    </x:row>
    <x:row r="244">
      <x:c r="A244" s="11" t="n"/>
      <x:c r="B244" s="11" t="n"/>
      <x:c r="C244" s="11" t="n"/>
      <x:c r="D244" s="11" t="n"/>
    </x:row>
    <x:row r="245">
      <x:c r="A245" s="11" t="n"/>
      <x:c r="B245" s="11" t="n"/>
      <x:c r="C245" s="11" t="n"/>
      <x:c r="D245" s="11" t="n"/>
    </x:row>
    <x:row r="246">
      <x:c r="A246" s="11" t="n"/>
      <x:c r="B246" s="11" t="n"/>
      <x:c r="C246" s="11" t="n"/>
      <x:c r="D246" s="11" t="n"/>
    </x:row>
    <x:row r="247">
      <x:c r="A247" s="11" t="n"/>
      <x:c r="B247" s="11" t="n"/>
      <x:c r="C247" s="11" t="n"/>
      <x:c r="D247" s="11" t="n"/>
    </x:row>
    <x:row r="248">
      <x:c r="A248" s="11" t="n"/>
      <x:c r="B248" s="11" t="n"/>
      <x:c r="C248" s="11" t="n"/>
      <x:c r="D248" s="11" t="n"/>
    </x:row>
    <x:row r="249">
      <x:c r="A249" s="11" t="n"/>
      <x:c r="B249" s="11" t="n"/>
      <x:c r="C249" s="11" t="n"/>
      <x:c r="D249" s="11" t="n"/>
    </x:row>
    <x:row r="250">
      <x:c r="A250" s="11" t="n"/>
      <x:c r="B250" s="11" t="n"/>
      <x:c r="C250" s="11" t="n"/>
      <x:c r="D250" s="11" t="n"/>
    </x:row>
    <x:row r="251">
      <x:c r="A251" s="11" t="n"/>
      <x:c r="B251" s="11" t="n"/>
      <x:c r="C251" s="11" t="n"/>
      <x:c r="D251" s="11" t="n"/>
    </x:row>
    <x:row r="252">
      <x:c r="A252" s="11" t="n"/>
      <x:c r="B252" s="11" t="n"/>
      <x:c r="C252" s="11" t="n"/>
      <x:c r="D252" s="11" t="n"/>
    </x:row>
    <x:row r="253">
      <x:c r="A253" s="11" t="n"/>
      <x:c r="B253" s="11" t="n"/>
      <x:c r="C253" s="11" t="n"/>
      <x:c r="D253" s="11" t="n"/>
    </x:row>
    <x:row r="254">
      <x:c r="A254" s="11" t="n"/>
      <x:c r="B254" s="11" t="n"/>
      <x:c r="C254" s="11" t="n"/>
      <x:c r="D254" s="11" t="n"/>
    </x:row>
    <x:row r="255">
      <x:c r="A255" s="11" t="n"/>
      <x:c r="B255" s="11" t="n"/>
      <x:c r="C255" s="11" t="n"/>
      <x:c r="D255" s="11" t="n"/>
    </x:row>
    <x:row r="256">
      <x:c r="A256" s="11" t="n"/>
      <x:c r="B256" s="11" t="n"/>
      <x:c r="C256" s="11" t="n"/>
      <x:c r="D256" s="11" t="n"/>
    </x:row>
    <x:row r="257">
      <x:c r="A257" s="11" t="n"/>
      <x:c r="B257" s="11" t="n"/>
      <x:c r="C257" s="11" t="n"/>
      <x:c r="D257" s="11" t="n"/>
    </x:row>
    <x:row r="258">
      <x:c r="A258" s="11" t="n"/>
      <x:c r="B258" s="11" t="n"/>
      <x:c r="C258" s="11" t="n"/>
      <x:c r="D258" s="11" t="n"/>
    </x:row>
    <x:row r="259">
      <x:c r="A259" s="11" t="n"/>
      <x:c r="B259" s="11" t="n"/>
      <x:c r="C259" s="11" t="n"/>
      <x:c r="D259" s="11" t="n"/>
    </x:row>
    <x:row r="260">
      <x:c r="A260" s="11" t="n"/>
      <x:c r="B260" s="11" t="n"/>
      <x:c r="C260" s="11" t="n"/>
      <x:c r="D260" s="11" t="n"/>
    </x:row>
    <x:row r="261">
      <x:c r="A261" s="11" t="n"/>
      <x:c r="B261" s="11" t="n"/>
      <x:c r="C261" s="11" t="n"/>
      <x:c r="D261" s="11" t="n"/>
    </x:row>
    <x:row r="262">
      <x:c r="A262" s="11" t="n"/>
      <x:c r="B262" s="11" t="n"/>
      <x:c r="C262" s="11" t="n"/>
      <x:c r="D262" s="11" t="n"/>
    </x:row>
    <x:row r="263">
      <x:c r="A263" s="11" t="n"/>
      <x:c r="B263" s="11" t="n"/>
      <x:c r="C263" s="11" t="n"/>
      <x:c r="D263" s="11" t="n"/>
    </x:row>
    <x:row r="264">
      <x:c r="A264" s="11" t="n"/>
      <x:c r="B264" s="11" t="n"/>
      <x:c r="C264" s="11" t="n"/>
      <x:c r="D264" s="11" t="n"/>
    </x:row>
    <x:row r="265">
      <x:c r="A265" s="11" t="n"/>
      <x:c r="B265" s="11" t="n"/>
      <x:c r="C265" s="11" t="n"/>
      <x:c r="D265" s="11" t="n"/>
    </x:row>
    <x:row r="266">
      <x:c r="A266" s="11" t="n"/>
      <x:c r="B266" s="11" t="n"/>
      <x:c r="C266" s="11" t="n"/>
      <x:c r="D266" s="11" t="n"/>
    </x:row>
    <x:row r="267">
      <x:c r="A267" s="11" t="n"/>
      <x:c r="B267" s="11" t="n"/>
      <x:c r="C267" s="11" t="n"/>
      <x:c r="D267" s="11" t="n"/>
    </x:row>
    <x:row r="268">
      <x:c r="A268" s="11" t="n"/>
      <x:c r="B268" s="11" t="n"/>
      <x:c r="C268" s="11" t="n"/>
      <x:c r="D268" s="11" t="n"/>
    </x:row>
    <x:row r="269">
      <x:c r="A269" s="11" t="n"/>
      <x:c r="B269" s="11" t="n"/>
      <x:c r="C269" s="11" t="n"/>
      <x:c r="D269" s="11" t="n"/>
    </x:row>
    <x:row r="270">
      <x:c r="A270" s="11" t="n"/>
      <x:c r="B270" s="11" t="n"/>
      <x:c r="C270" s="11" t="n"/>
      <x:c r="D270" s="11" t="n"/>
    </x:row>
    <x:row r="271">
      <x:c r="A271" s="11" t="n"/>
      <x:c r="B271" s="11" t="n"/>
      <x:c r="C271" s="11" t="n"/>
      <x:c r="D271" s="11" t="n"/>
    </x:row>
    <x:row r="272">
      <x:c r="A272" s="11" t="n"/>
      <x:c r="B272" s="11" t="n"/>
      <x:c r="C272" s="11" t="n"/>
      <x:c r="D272" s="11" t="n"/>
    </x:row>
    <x:row r="273">
      <x:c r="A273" s="11" t="n"/>
      <x:c r="B273" s="11" t="n"/>
      <x:c r="C273" s="11" t="n"/>
      <x:c r="D273" s="11" t="n"/>
    </x:row>
    <x:row r="274">
      <x:c r="A274" s="11" t="n"/>
      <x:c r="B274" s="11" t="n"/>
      <x:c r="C274" s="11" t="n"/>
      <x:c r="D274" s="11" t="n"/>
    </x:row>
    <x:row r="275">
      <x:c r="A275" s="11" t="n"/>
      <x:c r="B275" s="11" t="n"/>
      <x:c r="C275" s="11" t="n"/>
      <x:c r="D275" s="11" t="n"/>
    </x:row>
    <x:row r="276">
      <x:c r="A276" s="11" t="n"/>
      <x:c r="B276" s="11" t="n"/>
      <x:c r="C276" s="11" t="n"/>
      <x:c r="D276" s="11" t="n"/>
    </x:row>
    <x:row r="277">
      <x:c r="A277" s="11" t="n"/>
      <x:c r="B277" s="11" t="n"/>
      <x:c r="C277" s="11" t="n"/>
      <x:c r="D277" s="11" t="n"/>
    </x:row>
    <x:row r="278">
      <x:c r="A278" s="11" t="n"/>
      <x:c r="B278" s="11" t="n"/>
      <x:c r="C278" s="11" t="n"/>
      <x:c r="D278" s="11" t="n"/>
    </x:row>
    <x:row r="279">
      <x:c r="A279" s="11" t="n"/>
      <x:c r="B279" s="11" t="n"/>
      <x:c r="C279" s="11" t="n"/>
      <x:c r="D279" s="11" t="n"/>
    </x:row>
    <x:row r="280">
      <x:c r="A280" s="11" t="n"/>
      <x:c r="B280" s="11" t="n"/>
      <x:c r="C280" s="11" t="n"/>
      <x:c r="D280" s="11" t="n"/>
    </x:row>
    <x:row r="281">
      <x:c r="A281" s="11" t="n"/>
      <x:c r="B281" s="11" t="n"/>
      <x:c r="C281" s="11" t="n"/>
      <x:c r="D281" s="11" t="n"/>
    </x:row>
    <x:row r="282">
      <x:c r="A282" s="11" t="n"/>
      <x:c r="B282" s="11" t="n"/>
      <x:c r="C282" s="11" t="n"/>
      <x:c r="D282" s="11" t="n"/>
    </x:row>
    <x:row r="283">
      <x:c r="A283" s="11" t="n"/>
      <x:c r="B283" s="11" t="n"/>
      <x:c r="C283" s="11" t="n"/>
      <x:c r="D283" s="11" t="n"/>
    </x:row>
    <x:row r="284">
      <x:c r="A284" s="11" t="n"/>
      <x:c r="B284" s="11" t="n"/>
      <x:c r="C284" s="11" t="n"/>
      <x:c r="D284" s="11" t="n"/>
    </x:row>
    <x:row r="285">
      <x:c r="A285" s="11" t="n"/>
      <x:c r="B285" s="11" t="n"/>
      <x:c r="C285" s="11" t="n"/>
      <x:c r="D285" s="11" t="n"/>
    </x:row>
    <x:row r="286">
      <x:c r="A286" s="11" t="n"/>
      <x:c r="B286" s="11" t="n"/>
      <x:c r="C286" s="11" t="n"/>
      <x:c r="D286" s="11" t="n"/>
    </x:row>
    <x:row r="287">
      <x:c r="A287" s="11" t="n"/>
      <x:c r="B287" s="11" t="n"/>
      <x:c r="C287" s="11" t="n"/>
      <x:c r="D287" s="11" t="n"/>
    </x:row>
    <x:row r="288">
      <x:c r="A288" s="11" t="n"/>
      <x:c r="B288" s="11" t="n"/>
      <x:c r="C288" s="11" t="n"/>
      <x:c r="D288" s="11" t="n"/>
    </x:row>
    <x:row r="289">
      <x:c r="A289" s="11" t="n"/>
      <x:c r="B289" s="11" t="n"/>
      <x:c r="C289" s="11" t="n"/>
      <x:c r="D289" s="11" t="n"/>
    </x:row>
    <x:row r="290">
      <x:c r="A290" s="11" t="n"/>
      <x:c r="B290" s="11" t="n"/>
      <x:c r="C290" s="11" t="n"/>
      <x:c r="D290" s="11" t="n"/>
    </x:row>
    <x:row r="291">
      <x:c r="A291" s="11" t="n"/>
      <x:c r="B291" s="11" t="n"/>
      <x:c r="C291" s="11" t="n"/>
      <x:c r="D291" s="11" t="n"/>
    </x:row>
    <x:row r="292">
      <x:c r="A292" s="11" t="n"/>
      <x:c r="B292" s="11" t="n"/>
      <x:c r="C292" s="11" t="n"/>
      <x:c r="D292" s="11" t="n"/>
    </x:row>
    <x:row r="293">
      <x:c r="A293" s="11" t="n"/>
      <x:c r="B293" s="11" t="n"/>
      <x:c r="C293" s="11" t="n"/>
      <x:c r="D293" s="11" t="n"/>
    </x:row>
    <x:row r="294">
      <x:c r="A294" s="11" t="n"/>
      <x:c r="B294" s="11" t="n"/>
      <x:c r="C294" s="11" t="n"/>
      <x:c r="D294" s="11" t="n"/>
    </x:row>
    <x:row r="295">
      <x:c r="A295" s="11" t="n"/>
      <x:c r="B295" s="11" t="n"/>
      <x:c r="C295" s="11" t="n"/>
      <x:c r="D295" s="11" t="n"/>
    </x:row>
    <x:row r="296">
      <x:c r="A296" s="11" t="n"/>
      <x:c r="B296" s="11" t="n"/>
      <x:c r="C296" s="11" t="n"/>
      <x:c r="D296" s="11" t="n"/>
    </x:row>
    <x:row r="297">
      <x:c r="A297" s="11" t="n"/>
      <x:c r="B297" s="11" t="n"/>
      <x:c r="C297" s="11" t="n"/>
      <x:c r="D297" s="11" t="n"/>
    </x:row>
    <x:row r="298">
      <x:c r="A298" s="11" t="n"/>
      <x:c r="B298" s="11" t="n"/>
      <x:c r="C298" s="11" t="n"/>
      <x:c r="D298" s="11" t="n"/>
    </x:row>
    <x:row r="299">
      <x:c r="A299" s="11" t="n"/>
      <x:c r="B299" s="11" t="n"/>
      <x:c r="C299" s="11" t="n"/>
      <x:c r="D299" s="11" t="n"/>
    </x:row>
    <x:row r="300">
      <x:c r="A300" s="11" t="n"/>
      <x:c r="B300" s="11" t="n"/>
      <x:c r="C300" s="11" t="n"/>
      <x:c r="D300" s="11" t="n"/>
    </x:row>
    <x:row r="301">
      <x:c r="A301" s="11" t="n"/>
      <x:c r="B301" s="11" t="n"/>
      <x:c r="C301" s="11" t="n"/>
      <x:c r="D301" s="11" t="n"/>
    </x:row>
    <x:row r="302">
      <x:c r="A302" s="11" t="n"/>
      <x:c r="B302" s="11" t="n"/>
      <x:c r="C302" s="11" t="n"/>
      <x:c r="D302" s="11" t="n"/>
    </x:row>
    <x:row r="303">
      <x:c r="A303" s="11" t="n"/>
      <x:c r="B303" s="11" t="n"/>
      <x:c r="C303" s="11" t="n"/>
      <x:c r="D303" s="11" t="n"/>
    </x:row>
    <x:row r="304">
      <x:c r="A304" s="11" t="n"/>
      <x:c r="B304" s="11" t="n"/>
      <x:c r="C304" s="11" t="n"/>
      <x:c r="D304" s="11" t="n"/>
    </x:row>
    <x:row r="305">
      <x:c r="A305" s="11" t="n"/>
      <x:c r="B305" s="11" t="n"/>
      <x:c r="C305" s="11" t="n"/>
      <x:c r="D305" s="11" t="n"/>
    </x:row>
    <x:row r="306">
      <x:c r="A306" s="11" t="n"/>
      <x:c r="B306" s="11" t="n"/>
      <x:c r="C306" s="11" t="n"/>
      <x:c r="D306" s="11" t="n"/>
    </x:row>
    <x:row r="307">
      <x:c r="A307" s="11" t="n"/>
      <x:c r="B307" s="11" t="n"/>
      <x:c r="C307" s="11" t="n"/>
      <x:c r="D307" s="11" t="n"/>
    </x:row>
    <x:row r="308">
      <x:c r="A308" s="11" t="n"/>
      <x:c r="B308" s="11" t="n"/>
      <x:c r="C308" s="11" t="n"/>
      <x:c r="D308" s="11" t="n"/>
    </x:row>
    <x:row r="309">
      <x:c r="A309" s="11" t="n"/>
      <x:c r="B309" s="11" t="n"/>
      <x:c r="C309" s="11" t="n"/>
      <x:c r="D309" s="11" t="n"/>
    </x:row>
    <x:row r="310">
      <x:c r="A310" s="11" t="n"/>
      <x:c r="B310" s="11" t="n"/>
      <x:c r="C310" s="11" t="n"/>
      <x:c r="D310" s="11" t="n"/>
    </x:row>
    <x:row r="311">
      <x:c r="A311" s="11" t="n"/>
      <x:c r="B311" s="11" t="n"/>
      <x:c r="C311" s="11" t="n"/>
      <x:c r="D311" s="11" t="n"/>
    </x:row>
    <x:row r="312">
      <x:c r="A312" s="11" t="n"/>
      <x:c r="B312" s="11" t="n"/>
      <x:c r="C312" s="11" t="n"/>
      <x:c r="D312" s="11" t="n"/>
    </x:row>
    <x:row r="313">
      <x:c r="A313" s="11" t="n"/>
      <x:c r="B313" s="11" t="n"/>
      <x:c r="C313" s="11" t="n"/>
      <x:c r="D313" s="11" t="n"/>
    </x:row>
    <x:row r="314">
      <x:c r="A314" s="11" t="n"/>
      <x:c r="B314" s="11" t="n"/>
      <x:c r="C314" s="11" t="n"/>
      <x:c r="D314" s="11" t="n"/>
    </x:row>
    <x:row r="315">
      <x:c r="A315" s="11" t="n"/>
      <x:c r="B315" s="11" t="n"/>
      <x:c r="C315" s="11" t="n"/>
      <x:c r="D315" s="11" t="n"/>
    </x:row>
    <x:row r="316">
      <x:c r="A316" s="11" t="n"/>
      <x:c r="B316" s="11" t="n"/>
      <x:c r="C316" s="11" t="n"/>
      <x:c r="D316" s="11" t="n"/>
    </x:row>
    <x:row r="317">
      <x:c r="A317" s="11" t="n"/>
      <x:c r="B317" s="11" t="n"/>
      <x:c r="C317" s="11" t="n"/>
      <x:c r="D317" s="11" t="n"/>
    </x:row>
    <x:row r="318">
      <x:c r="A318" s="11" t="n"/>
      <x:c r="B318" s="11" t="n"/>
      <x:c r="C318" s="11" t="n"/>
      <x:c r="D318" s="11" t="n"/>
    </x:row>
    <x:row r="319">
      <x:c r="A319" s="11" t="n"/>
      <x:c r="B319" s="11" t="n"/>
      <x:c r="C319" s="11" t="n"/>
      <x:c r="D319" s="11" t="n"/>
    </x:row>
    <x:row r="320">
      <x:c r="A320" s="11" t="n"/>
      <x:c r="B320" s="11" t="n"/>
      <x:c r="C320" s="11" t="n"/>
      <x:c r="D320" s="11" t="n"/>
    </x:row>
    <x:row r="321">
      <x:c r="A321" s="11" t="n"/>
      <x:c r="B321" s="11" t="n"/>
      <x:c r="C321" s="11" t="n"/>
      <x:c r="D321" s="11" t="n"/>
    </x:row>
    <x:row r="322">
      <x:c r="A322" s="11" t="n"/>
      <x:c r="B322" s="11" t="n"/>
      <x:c r="C322" s="11" t="n"/>
      <x:c r="D322" s="11" t="n"/>
    </x:row>
    <x:row r="323">
      <x:c r="A323" s="11" t="n"/>
      <x:c r="B323" s="11" t="n"/>
      <x:c r="C323" s="11" t="n"/>
      <x:c r="D323" s="11" t="n"/>
    </x:row>
    <x:row r="324">
      <x:c r="A324" s="11" t="n"/>
      <x:c r="B324" s="11" t="n"/>
      <x:c r="C324" s="11" t="n"/>
      <x:c r="D324" s="11" t="n"/>
    </x:row>
    <x:row r="325">
      <x:c r="A325" s="11" t="n"/>
      <x:c r="B325" s="11" t="n"/>
      <x:c r="C325" s="11" t="n"/>
      <x:c r="D325" s="11" t="n"/>
    </x:row>
    <x:row r="326">
      <x:c r="A326" s="11" t="n"/>
      <x:c r="B326" s="11" t="n"/>
      <x:c r="C326" s="11" t="n"/>
      <x:c r="D326" s="11" t="n"/>
    </x:row>
    <x:row r="327">
      <x:c r="A327" s="11" t="n"/>
      <x:c r="B327" s="11" t="n"/>
      <x:c r="C327" s="11" t="n"/>
      <x:c r="D327" s="11" t="n"/>
    </x:row>
    <x:row r="328">
      <x:c r="A328" s="11" t="n"/>
      <x:c r="B328" s="11" t="n"/>
      <x:c r="C328" s="11" t="n"/>
      <x:c r="D328" s="11" t="n"/>
    </x:row>
    <x:row r="329">
      <x:c r="A329" s="11" t="n"/>
      <x:c r="B329" s="11" t="n"/>
      <x:c r="C329" s="11" t="n"/>
      <x:c r="D329" s="11" t="n"/>
    </x:row>
    <x:row r="330">
      <x:c r="A330" s="11" t="n"/>
      <x:c r="B330" s="11" t="n"/>
      <x:c r="C330" s="11" t="n"/>
      <x:c r="D330" s="11" t="n"/>
    </x:row>
    <x:row r="331">
      <x:c r="A331" s="11" t="n"/>
      <x:c r="B331" s="11" t="n"/>
      <x:c r="C331" s="11" t="n"/>
      <x:c r="D331" s="11" t="n"/>
    </x:row>
    <x:row r="332">
      <x:c r="A332" s="11" t="n"/>
      <x:c r="B332" s="11" t="n"/>
      <x:c r="C332" s="11" t="n"/>
      <x:c r="D332" s="11" t="n"/>
    </x:row>
    <x:row r="333">
      <x:c r="A333" s="11" t="n"/>
      <x:c r="B333" s="11" t="n"/>
      <x:c r="C333" s="11" t="n"/>
      <x:c r="D333" s="11" t="n"/>
    </x:row>
    <x:row r="334">
      <x:c r="A334" s="11" t="n"/>
      <x:c r="B334" s="11" t="n"/>
      <x:c r="C334" s="11" t="n"/>
      <x:c r="D334" s="11" t="n"/>
    </x:row>
    <x:row r="335">
      <x:c r="A335" s="11" t="n"/>
      <x:c r="B335" s="11" t="n"/>
      <x:c r="C335" s="11" t="n"/>
      <x:c r="D335" s="11" t="n"/>
    </x:row>
    <x:row r="336">
      <x:c r="A336" s="11" t="n"/>
      <x:c r="B336" s="11" t="n"/>
      <x:c r="C336" s="11" t="n"/>
      <x:c r="D336" s="11" t="n"/>
    </x:row>
    <x:row r="337">
      <x:c r="A337" s="11" t="n"/>
      <x:c r="B337" s="11" t="n"/>
      <x:c r="C337" s="11" t="n"/>
      <x:c r="D337" s="11" t="n"/>
    </x:row>
    <x:row r="338">
      <x:c r="A338" s="11" t="n"/>
      <x:c r="B338" s="11" t="n"/>
      <x:c r="C338" s="11" t="n"/>
      <x:c r="D338" s="11" t="n"/>
    </x:row>
    <x:row r="339">
      <x:c r="A339" s="11" t="n"/>
      <x:c r="B339" s="11" t="n"/>
      <x:c r="C339" s="11" t="n"/>
      <x:c r="D339" s="11" t="n"/>
    </x:row>
    <x:row r="340">
      <x:c r="A340" s="11" t="n"/>
      <x:c r="B340" s="11" t="n"/>
      <x:c r="C340" s="11" t="n"/>
      <x:c r="D340" s="11" t="n"/>
    </x:row>
    <x:row r="341">
      <x:c r="A341" s="11" t="n"/>
      <x:c r="B341" s="11" t="n"/>
      <x:c r="C341" s="11" t="n"/>
      <x:c r="D341" s="11" t="n"/>
    </x:row>
    <x:row r="342">
      <x:c r="A342" s="11" t="n"/>
      <x:c r="B342" s="11" t="n"/>
      <x:c r="C342" s="11" t="n"/>
      <x:c r="D342" s="11" t="n"/>
    </x:row>
    <x:row r="343">
      <x:c r="A343" s="11" t="n"/>
      <x:c r="B343" s="11" t="n"/>
      <x:c r="C343" s="11" t="n"/>
      <x:c r="D343" s="11" t="n"/>
    </x:row>
    <x:row r="344">
      <x:c r="A344" s="11" t="n"/>
      <x:c r="B344" s="11" t="n"/>
      <x:c r="C344" s="11" t="n"/>
      <x:c r="D344" s="11" t="n"/>
    </x:row>
    <x:row r="345">
      <x:c r="A345" s="11" t="n"/>
      <x:c r="B345" s="11" t="n"/>
      <x:c r="C345" s="11" t="n"/>
      <x:c r="D345" s="11" t="n"/>
    </x:row>
    <x:row r="346">
      <x:c r="A346" s="11" t="n"/>
      <x:c r="B346" s="11" t="n"/>
      <x:c r="C346" s="11" t="n"/>
      <x:c r="D346" s="11" t="n"/>
    </x:row>
    <x:row r="347">
      <x:c r="A347" s="11" t="n"/>
      <x:c r="B347" s="11" t="n"/>
      <x:c r="C347" s="11" t="n"/>
      <x:c r="D347" s="11" t="n"/>
    </x:row>
    <x:row r="348">
      <x:c r="A348" s="11" t="n"/>
      <x:c r="B348" s="11" t="n"/>
      <x:c r="C348" s="11" t="n"/>
      <x:c r="D348" s="11" t="n"/>
    </x:row>
    <x:row r="349">
      <x:c r="A349" s="11" t="n"/>
      <x:c r="B349" s="11" t="n"/>
      <x:c r="C349" s="11" t="n"/>
      <x:c r="D349" s="11" t="n"/>
    </x:row>
    <x:row r="350">
      <x:c r="A350" s="11" t="n"/>
      <x:c r="B350" s="11" t="n"/>
      <x:c r="C350" s="11" t="n"/>
      <x:c r="D350" s="11" t="n"/>
    </x:row>
    <x:row r="351">
      <x:c r="A351" s="11" t="n"/>
      <x:c r="B351" s="11" t="n"/>
      <x:c r="C351" s="11" t="n"/>
      <x:c r="D351" s="11" t="n"/>
    </x:row>
    <x:row r="352">
      <x:c r="A352" s="11" t="n"/>
      <x:c r="B352" s="11" t="n"/>
      <x:c r="C352" s="11" t="n"/>
      <x:c r="D352" s="11" t="n"/>
    </x:row>
    <x:row r="353">
      <x:c r="A353" s="11" t="n"/>
      <x:c r="B353" s="11" t="n"/>
      <x:c r="C353" s="11" t="n"/>
      <x:c r="D353" s="11" t="n"/>
    </x:row>
    <x:row r="354">
      <x:c r="A354" s="11" t="n"/>
      <x:c r="B354" s="11" t="n"/>
      <x:c r="C354" s="11" t="n"/>
      <x:c r="D354" s="11" t="n"/>
    </x:row>
    <x:row r="355">
      <x:c r="A355" s="11" t="n"/>
      <x:c r="B355" s="11" t="n"/>
      <x:c r="C355" s="11" t="n"/>
      <x:c r="D355" s="11" t="n"/>
    </x:row>
    <x:row r="356">
      <x:c r="A356" s="11" t="n"/>
      <x:c r="B356" s="11" t="n"/>
      <x:c r="C356" s="11" t="n"/>
      <x:c r="D356" s="11" t="n"/>
    </x:row>
    <x:row r="357">
      <x:c r="A357" s="11" t="n"/>
      <x:c r="B357" s="11" t="n"/>
      <x:c r="C357" s="11" t="n"/>
      <x:c r="D357" s="11" t="n"/>
    </x:row>
    <x:row r="358">
      <x:c r="A358" s="11" t="n"/>
      <x:c r="B358" s="11" t="n"/>
      <x:c r="C358" s="11" t="n"/>
      <x:c r="D358" s="11" t="n"/>
    </x:row>
    <x:row r="359">
      <x:c r="A359" s="11" t="n"/>
      <x:c r="B359" s="11" t="n"/>
      <x:c r="C359" s="11" t="n"/>
      <x:c r="D359" s="11" t="n"/>
    </x:row>
    <x:row r="360">
      <x:c r="A360" s="11" t="n"/>
      <x:c r="B360" s="11" t="n"/>
      <x:c r="C360" s="11" t="n"/>
      <x:c r="D360" s="11" t="n"/>
    </x:row>
    <x:row r="361">
      <x:c r="A361" s="11" t="n"/>
      <x:c r="B361" s="11" t="n"/>
      <x:c r="C361" s="11" t="n"/>
      <x:c r="D361" s="11" t="n"/>
    </x:row>
    <x:row r="362">
      <x:c r="A362" s="11" t="n"/>
      <x:c r="B362" s="11" t="n"/>
      <x:c r="C362" s="11" t="n"/>
      <x:c r="D362" s="11" t="n"/>
    </x:row>
    <x:row r="363">
      <x:c r="A363" s="11" t="n"/>
      <x:c r="B363" s="11" t="n"/>
      <x:c r="C363" s="11" t="n"/>
      <x:c r="D363" s="11" t="n"/>
    </x:row>
    <x:row r="364">
      <x:c r="A364" s="11" t="n"/>
      <x:c r="B364" s="11" t="n"/>
      <x:c r="C364" s="11" t="n"/>
      <x:c r="D364" s="11" t="n"/>
    </x:row>
    <x:row r="365">
      <x:c r="A365" s="11" t="n"/>
      <x:c r="B365" s="11" t="n"/>
      <x:c r="C365" s="11" t="n"/>
      <x:c r="D365" s="11" t="n"/>
    </x:row>
    <x:row r="366">
      <x:c r="A366" s="11" t="n"/>
      <x:c r="B366" s="11" t="n"/>
      <x:c r="C366" s="11" t="n"/>
      <x:c r="D366" s="11" t="n"/>
    </x:row>
    <x:row r="367">
      <x:c r="A367" s="11" t="n"/>
      <x:c r="B367" s="11" t="n"/>
      <x:c r="C367" s="11" t="n"/>
      <x:c r="D367" s="11" t="n"/>
    </x:row>
    <x:row r="368">
      <x:c r="A368" s="11" t="n"/>
      <x:c r="B368" s="11" t="n"/>
      <x:c r="C368" s="11" t="n"/>
      <x:c r="D368" s="11" t="n"/>
    </x:row>
    <x:row r="369">
      <x:c r="A369" s="11" t="n"/>
      <x:c r="B369" s="11" t="n"/>
      <x:c r="C369" s="11" t="n"/>
      <x:c r="D369" s="11" t="n"/>
    </x:row>
    <x:row r="370">
      <x:c r="A370" s="11" t="n"/>
      <x:c r="B370" s="11" t="n"/>
      <x:c r="C370" s="11" t="n"/>
      <x:c r="D370" s="11" t="n"/>
    </x:row>
    <x:row r="371">
      <x:c r="A371" s="11" t="n"/>
      <x:c r="B371" s="11" t="n"/>
      <x:c r="C371" s="11" t="n"/>
      <x:c r="D371" s="11" t="n"/>
    </x:row>
    <x:row r="372">
      <x:c r="A372" s="11" t="n"/>
      <x:c r="B372" s="11" t="n"/>
      <x:c r="C372" s="11" t="n"/>
      <x:c r="D372" s="11" t="n"/>
    </x:row>
    <x:row r="373">
      <x:c r="A373" s="11" t="n"/>
      <x:c r="B373" s="11" t="n"/>
      <x:c r="C373" s="11" t="n"/>
      <x:c r="D373" s="11" t="n"/>
    </x:row>
    <x:row r="374">
      <x:c r="A374" s="11" t="n"/>
      <x:c r="B374" s="11" t="n"/>
      <x:c r="C374" s="11" t="n"/>
      <x:c r="D374" s="11" t="n"/>
    </x:row>
    <x:row r="375">
      <x:c r="A375" s="11" t="n"/>
      <x:c r="B375" s="11" t="n"/>
      <x:c r="C375" s="11" t="n"/>
      <x:c r="D375" s="11" t="n"/>
    </x:row>
    <x:row r="376">
      <x:c r="A376" s="11" t="n"/>
      <x:c r="B376" s="11" t="n"/>
      <x:c r="C376" s="11" t="n"/>
      <x:c r="D376" s="11" t="n"/>
    </x:row>
    <x:row r="377">
      <x:c r="A377" s="11" t="n"/>
      <x:c r="B377" s="11" t="n"/>
      <x:c r="C377" s="11" t="n"/>
      <x:c r="D377" s="11" t="n"/>
    </x:row>
    <x:row r="378">
      <x:c r="A378" s="11" t="n"/>
      <x:c r="B378" s="11" t="n"/>
      <x:c r="C378" s="11" t="n"/>
      <x:c r="D378" s="11" t="n"/>
    </x:row>
    <x:row r="379">
      <x:c r="A379" s="11" t="n"/>
      <x:c r="B379" s="11" t="n"/>
      <x:c r="C379" s="11" t="n"/>
      <x:c r="D379" s="11" t="n"/>
    </x:row>
    <x:row r="380">
      <x:c r="A380" s="11" t="n"/>
      <x:c r="B380" s="11" t="n"/>
      <x:c r="C380" s="11" t="n"/>
      <x:c r="D380" s="11" t="n"/>
    </x:row>
    <x:row r="381">
      <x:c r="A381" s="11" t="n"/>
      <x:c r="B381" s="11" t="n"/>
      <x:c r="C381" s="11" t="n"/>
      <x:c r="D381" s="11" t="n"/>
    </x:row>
    <x:row r="382">
      <x:c r="A382" s="11" t="n"/>
      <x:c r="B382" s="11" t="n"/>
      <x:c r="C382" s="11" t="n"/>
      <x:c r="D382" s="11" t="n"/>
    </x:row>
    <x:row r="383">
      <x:c r="A383" s="11" t="n"/>
      <x:c r="B383" s="11" t="n"/>
      <x:c r="C383" s="11" t="n"/>
      <x:c r="D383" s="11" t="n"/>
    </x:row>
    <x:row r="384">
      <x:c r="A384" s="11" t="n"/>
      <x:c r="B384" s="11" t="n"/>
      <x:c r="C384" s="11" t="n"/>
      <x:c r="D384" s="11" t="n"/>
    </x:row>
    <x:row r="385">
      <x:c r="A385" s="11" t="n"/>
      <x:c r="B385" s="11" t="n"/>
      <x:c r="C385" s="11" t="n"/>
      <x:c r="D385" s="11" t="n"/>
    </x:row>
    <x:row r="386">
      <x:c r="A386" s="11" t="n"/>
      <x:c r="B386" s="11" t="n"/>
      <x:c r="C386" s="11" t="n"/>
      <x:c r="D386" s="11" t="n"/>
    </x:row>
    <x:row r="387">
      <x:c r="A387" s="11" t="n"/>
      <x:c r="B387" s="11" t="n"/>
      <x:c r="C387" s="11" t="n"/>
      <x:c r="D387" s="11" t="n"/>
    </x:row>
    <x:row r="388">
      <x:c r="A388" s="11" t="n"/>
      <x:c r="B388" s="11" t="n"/>
      <x:c r="C388" s="11" t="n"/>
      <x:c r="D388" s="11" t="n"/>
    </x:row>
    <x:row r="389">
      <x:c r="A389" s="11" t="n"/>
      <x:c r="B389" s="11" t="n"/>
      <x:c r="C389" s="11" t="n"/>
      <x:c r="D389" s="11" t="n"/>
    </x:row>
    <x:row r="390">
      <x:c r="A390" s="11" t="n"/>
      <x:c r="B390" s="11" t="n"/>
      <x:c r="C390" s="11" t="n"/>
      <x:c r="D390" s="11" t="n"/>
    </x:row>
    <x:row r="391">
      <x:c r="A391" s="11" t="n"/>
      <x:c r="B391" s="11" t="n"/>
      <x:c r="C391" s="11" t="n"/>
      <x:c r="D391" s="11" t="n"/>
    </x:row>
    <x:row r="392">
      <x:c r="A392" s="11" t="n"/>
      <x:c r="B392" s="11" t="n"/>
      <x:c r="C392" s="11" t="n"/>
      <x:c r="D392" s="11" t="n"/>
    </x:row>
    <x:row r="393">
      <x:c r="A393" s="11" t="n"/>
      <x:c r="B393" s="11" t="n"/>
      <x:c r="C393" s="11" t="n"/>
      <x:c r="D393" s="11" t="n"/>
    </x:row>
    <x:row r="394">
      <x:c r="A394" s="11" t="n"/>
      <x:c r="B394" s="11" t="n"/>
      <x:c r="C394" s="11" t="n"/>
      <x:c r="D394" s="11" t="n"/>
    </x:row>
    <x:row r="395">
      <x:c r="A395" s="11" t="n"/>
      <x:c r="B395" s="11" t="n"/>
      <x:c r="C395" s="11" t="n"/>
      <x:c r="D395" s="11" t="n"/>
    </x:row>
    <x:row r="396">
      <x:c r="A396" s="11" t="n"/>
      <x:c r="B396" s="11" t="n"/>
      <x:c r="C396" s="11" t="n"/>
      <x:c r="D396" s="11" t="n"/>
    </x:row>
    <x:row r="397">
      <x:c r="A397" s="11" t="n"/>
      <x:c r="B397" s="11" t="n"/>
      <x:c r="C397" s="11" t="n"/>
      <x:c r="D397" s="11" t="n"/>
    </x:row>
    <x:row r="398">
      <x:c r="A398" s="11" t="n"/>
      <x:c r="B398" s="11" t="n"/>
      <x:c r="C398" s="11" t="n"/>
      <x:c r="D398" s="11" t="n"/>
    </x:row>
    <x:row r="399">
      <x:c r="A399" s="11" t="n"/>
      <x:c r="B399" s="11" t="n"/>
      <x:c r="C399" s="11" t="n"/>
      <x:c r="D399" s="11" t="n"/>
    </x:row>
    <x:row r="400">
      <x:c r="A400" s="11" t="n"/>
      <x:c r="B400" s="11" t="n"/>
      <x:c r="C400" s="11" t="n"/>
      <x:c r="D400" s="11" t="n"/>
    </x:row>
    <x:row r="401">
      <x:c r="A401" s="11" t="n"/>
      <x:c r="B401" s="11" t="n"/>
      <x:c r="C401" s="11" t="n"/>
      <x:c r="D401" s="11" t="n"/>
    </x:row>
    <x:row r="402">
      <x:c r="A402" s="11" t="n"/>
      <x:c r="B402" s="11" t="n"/>
      <x:c r="C402" s="11" t="n"/>
      <x:c r="D402" s="11" t="n"/>
    </x:row>
    <x:row r="403">
      <x:c r="A403" s="11" t="n"/>
      <x:c r="B403" s="11" t="n"/>
      <x:c r="C403" s="11" t="n"/>
      <x:c r="D403" s="11" t="n"/>
    </x:row>
    <x:row r="404">
      <x:c r="A404" s="11" t="n"/>
      <x:c r="B404" s="11" t="n"/>
      <x:c r="C404" s="11" t="n"/>
      <x:c r="D404" s="11" t="n"/>
    </x:row>
    <x:row r="405">
      <x:c r="A405" s="11" t="n"/>
      <x:c r="B405" s="11" t="n"/>
      <x:c r="C405" s="11" t="n"/>
      <x:c r="D405" s="11" t="n"/>
    </x:row>
    <x:row r="406">
      <x:c r="A406" s="11" t="n"/>
      <x:c r="B406" s="11" t="n"/>
      <x:c r="C406" s="11" t="n"/>
      <x:c r="D406" s="11" t="n"/>
    </x:row>
    <x:row r="407">
      <x:c r="A407" s="11" t="n"/>
      <x:c r="B407" s="11" t="n"/>
      <x:c r="C407" s="11" t="n"/>
      <x:c r="D407" s="11" t="n"/>
    </x:row>
    <x:row r="408">
      <x:c r="A408" s="11" t="n"/>
      <x:c r="B408" s="11" t="n"/>
      <x:c r="C408" s="11" t="n"/>
      <x:c r="D408" s="11" t="n"/>
    </x:row>
    <x:row r="409">
      <x:c r="A409" s="11" t="n"/>
      <x:c r="B409" s="11" t="n"/>
      <x:c r="C409" s="11" t="n"/>
      <x:c r="D409" s="11" t="n"/>
    </x:row>
    <x:row r="410">
      <x:c r="A410" s="11" t="n"/>
      <x:c r="B410" s="11" t="n"/>
      <x:c r="C410" s="11" t="n"/>
      <x:c r="D410" s="11" t="n"/>
    </x:row>
    <x:row r="411">
      <x:c r="A411" s="11" t="n"/>
      <x:c r="B411" s="11" t="n"/>
      <x:c r="C411" s="11" t="n"/>
      <x:c r="D411" s="11" t="n"/>
    </x:row>
    <x:row r="412">
      <x:c r="A412" s="11" t="n"/>
      <x:c r="B412" s="11" t="n"/>
      <x:c r="C412" s="11" t="n"/>
      <x:c r="D412" s="11" t="n"/>
    </x:row>
    <x:row r="413">
      <x:c r="A413" s="11" t="n"/>
      <x:c r="B413" s="11" t="n"/>
      <x:c r="C413" s="11" t="n"/>
      <x:c r="D413" s="11" t="n"/>
    </x:row>
    <x:row r="414">
      <x:c r="A414" s="11" t="n"/>
      <x:c r="B414" s="11" t="n"/>
      <x:c r="C414" s="11" t="n"/>
      <x:c r="D414" s="11" t="n"/>
    </x:row>
    <x:row r="415">
      <x:c r="A415" s="11" t="n"/>
      <x:c r="B415" s="11" t="n"/>
      <x:c r="C415" s="11" t="n"/>
      <x:c r="D415" s="11" t="n"/>
    </x:row>
    <x:row r="416">
      <x:c r="A416" s="11" t="n"/>
      <x:c r="B416" s="11" t="n"/>
      <x:c r="C416" s="11" t="n"/>
      <x:c r="D416" s="11" t="n"/>
    </x:row>
    <x:row r="417">
      <x:c r="A417" s="11" t="n"/>
      <x:c r="B417" s="11" t="n"/>
      <x:c r="C417" s="11" t="n"/>
      <x:c r="D417" s="11" t="n"/>
    </x:row>
    <x:row r="418">
      <x:c r="A418" s="11" t="n"/>
      <x:c r="B418" s="11" t="n"/>
      <x:c r="C418" s="11" t="n"/>
      <x:c r="D418" s="11" t="n"/>
    </x:row>
    <x:row r="419">
      <x:c r="A419" s="11" t="n"/>
      <x:c r="B419" s="11" t="n"/>
      <x:c r="C419" s="11" t="n"/>
      <x:c r="D419" s="11" t="n"/>
    </x:row>
    <x:row r="420">
      <x:c r="A420" s="11" t="n"/>
      <x:c r="B420" s="11" t="n"/>
      <x:c r="C420" s="11" t="n"/>
      <x:c r="D420" s="11" t="n"/>
    </x:row>
    <x:row r="421">
      <x:c r="A421" s="11" t="n"/>
      <x:c r="B421" s="11" t="n"/>
      <x:c r="C421" s="11" t="n"/>
      <x:c r="D421" s="11" t="n"/>
    </x:row>
    <x:row r="422">
      <x:c r="A422" s="11" t="n"/>
      <x:c r="B422" s="11" t="n"/>
      <x:c r="C422" s="11" t="n"/>
      <x:c r="D422" s="11" t="n"/>
    </x:row>
    <x:row r="423">
      <x:c r="A423" s="11" t="n"/>
      <x:c r="B423" s="11" t="n"/>
      <x:c r="C423" s="11" t="n"/>
      <x:c r="D423" s="11" t="n"/>
    </x:row>
    <x:row r="424">
      <x:c r="A424" s="11" t="n"/>
      <x:c r="B424" s="11" t="n"/>
      <x:c r="C424" s="11" t="n"/>
      <x:c r="D424" s="11" t="n"/>
    </x:row>
    <x:row r="425">
      <x:c r="A425" s="11" t="n"/>
      <x:c r="B425" s="11" t="n"/>
      <x:c r="C425" s="11" t="n"/>
      <x:c r="D425" s="11" t="n"/>
    </x:row>
    <x:row r="426">
      <x:c r="A426" s="11" t="n"/>
      <x:c r="B426" s="11" t="n"/>
      <x:c r="C426" s="11" t="n"/>
      <x:c r="D426" s="11" t="n"/>
    </x:row>
    <x:row r="427">
      <x:c r="A427" s="11" t="n"/>
      <x:c r="B427" s="11" t="n"/>
      <x:c r="C427" s="11" t="n"/>
      <x:c r="D427" s="11" t="n"/>
    </x:row>
    <x:row r="428">
      <x:c r="A428" s="11" t="n"/>
      <x:c r="B428" s="11" t="n"/>
      <x:c r="C428" s="11" t="n"/>
      <x:c r="D428" s="11" t="n"/>
    </x:row>
    <x:row r="429">
      <x:c r="A429" s="11" t="n"/>
      <x:c r="B429" s="11" t="n"/>
      <x:c r="C429" s="11" t="n"/>
      <x:c r="D429" s="11" t="n"/>
    </x:row>
    <x:row r="430">
      <x:c r="A430" s="11" t="n"/>
      <x:c r="B430" s="11" t="n"/>
      <x:c r="C430" s="11" t="n"/>
      <x:c r="D430" s="11" t="n"/>
    </x:row>
    <x:row r="431">
      <x:c r="A431" s="11" t="n"/>
      <x:c r="B431" s="11" t="n"/>
      <x:c r="C431" s="11" t="n"/>
      <x:c r="D431" s="11" t="n"/>
    </x:row>
    <x:row r="432">
      <x:c r="A432" s="11" t="n"/>
      <x:c r="B432" s="11" t="n"/>
      <x:c r="C432" s="11" t="n"/>
      <x:c r="D432" s="11" t="n"/>
    </x:row>
    <x:row r="433">
      <x:c r="A433" s="11" t="n"/>
      <x:c r="B433" s="11" t="n"/>
      <x:c r="C433" s="11" t="n"/>
      <x:c r="D433" s="11" t="n"/>
    </x:row>
    <x:row r="434">
      <x:c r="A434" s="11" t="n"/>
      <x:c r="B434" s="11" t="n"/>
      <x:c r="C434" s="11" t="n"/>
      <x:c r="D434" s="11" t="n"/>
    </x:row>
    <x:row r="435">
      <x:c r="A435" s="11" t="n"/>
      <x:c r="B435" s="11" t="n"/>
      <x:c r="C435" s="11" t="n"/>
      <x:c r="D435" s="11" t="n"/>
    </x:row>
    <x:row r="436">
      <x:c r="A436" s="11" t="n"/>
      <x:c r="B436" s="11" t="n"/>
      <x:c r="C436" s="11" t="n"/>
      <x:c r="D436" s="11" t="n"/>
    </x:row>
    <x:row r="437">
      <x:c r="A437" s="11" t="n"/>
      <x:c r="B437" s="11" t="n"/>
      <x:c r="C437" s="11" t="n"/>
      <x:c r="D437" s="11" t="n"/>
    </x:row>
    <x:row r="438">
      <x:c r="A438" s="11" t="n"/>
      <x:c r="B438" s="11" t="n"/>
      <x:c r="C438" s="11" t="n"/>
      <x:c r="D438" s="11" t="n"/>
    </x:row>
    <x:row r="439">
      <x:c r="A439" s="11" t="n"/>
      <x:c r="B439" s="11" t="n"/>
      <x:c r="C439" s="11" t="n"/>
      <x:c r="D439" s="11" t="n"/>
    </x:row>
    <x:row r="440">
      <x:c r="A440" s="11" t="n"/>
      <x:c r="B440" s="11" t="n"/>
      <x:c r="C440" s="11" t="n"/>
      <x:c r="D440" s="11" t="n"/>
    </x:row>
    <x:row r="441">
      <x:c r="A441" s="11" t="n"/>
      <x:c r="B441" s="11" t="n"/>
      <x:c r="C441" s="11" t="n"/>
      <x:c r="D441" s="11" t="n"/>
    </x:row>
    <x:row r="442">
      <x:c r="A442" s="11" t="n"/>
      <x:c r="B442" s="11" t="n"/>
      <x:c r="C442" s="11" t="n"/>
      <x:c r="D442" s="11" t="n"/>
    </x:row>
    <x:row r="443">
      <x:c r="A443" s="11" t="n"/>
      <x:c r="B443" s="11" t="n"/>
      <x:c r="C443" s="11" t="n"/>
      <x:c r="D443" s="11" t="n"/>
    </x:row>
    <x:row r="444">
      <x:c r="A444" s="11" t="n"/>
      <x:c r="B444" s="11" t="n"/>
      <x:c r="C444" s="11" t="n"/>
      <x:c r="D444" s="11" t="n"/>
    </x:row>
    <x:row r="445">
      <x:c r="A445" s="11" t="n"/>
      <x:c r="B445" s="11" t="n"/>
      <x:c r="C445" s="11" t="n"/>
      <x:c r="D445" s="11" t="n"/>
    </x:row>
    <x:row r="446">
      <x:c r="A446" s="11" t="n"/>
      <x:c r="B446" s="11" t="n"/>
      <x:c r="C446" s="11" t="n"/>
      <x:c r="D446" s="11" t="n"/>
    </x:row>
    <x:row r="447">
      <x:c r="A447" s="11" t="n"/>
      <x:c r="B447" s="11" t="n"/>
      <x:c r="C447" s="11" t="n"/>
      <x:c r="D447" s="11" t="n"/>
    </x:row>
    <x:row r="448">
      <x:c r="A448" s="11" t="n"/>
      <x:c r="B448" s="11" t="n"/>
      <x:c r="C448" s="11" t="n"/>
      <x:c r="D448" s="11" t="n"/>
    </x:row>
    <x:row r="449">
      <x:c r="A449" s="11" t="n"/>
      <x:c r="B449" s="11" t="n"/>
      <x:c r="C449" s="11" t="n"/>
      <x:c r="D449" s="11" t="n"/>
    </x:row>
    <x:row r="450">
      <x:c r="A450" s="11" t="n"/>
      <x:c r="B450" s="11" t="n"/>
      <x:c r="C450" s="11" t="n"/>
      <x:c r="D450" s="11" t="n"/>
    </x:row>
    <x:row r="451">
      <x:c r="A451" s="11" t="n"/>
      <x:c r="B451" s="11" t="n"/>
      <x:c r="C451" s="11" t="n"/>
      <x:c r="D451" s="11" t="n"/>
    </x:row>
    <x:row r="452">
      <x:c r="A452" s="11" t="n"/>
      <x:c r="B452" s="11" t="n"/>
      <x:c r="C452" s="11" t="n"/>
      <x:c r="D452" s="11" t="n"/>
    </x:row>
    <x:row r="453">
      <x:c r="A453" s="11" t="n"/>
      <x:c r="B453" s="11" t="n"/>
      <x:c r="C453" s="11" t="n"/>
      <x:c r="D453" s="11" t="n"/>
    </x:row>
    <x:row r="454">
      <x:c r="A454" s="11" t="n"/>
      <x:c r="B454" s="11" t="n"/>
      <x:c r="C454" s="11" t="n"/>
      <x:c r="D454" s="11" t="n"/>
    </x:row>
    <x:row r="455">
      <x:c r="A455" s="11" t="n"/>
      <x:c r="B455" s="11" t="n"/>
      <x:c r="C455" s="11" t="n"/>
      <x:c r="D455" s="11" t="n"/>
    </x:row>
    <x:row r="456">
      <x:c r="A456" s="11" t="n"/>
      <x:c r="B456" s="11" t="n"/>
      <x:c r="C456" s="11" t="n"/>
      <x:c r="D456" s="11" t="n"/>
    </x:row>
    <x:row r="457">
      <x:c r="A457" s="11" t="n"/>
      <x:c r="B457" s="11" t="n"/>
      <x:c r="C457" s="11" t="n"/>
      <x:c r="D457" s="11" t="n"/>
    </x:row>
    <x:row r="458">
      <x:c r="A458" s="11" t="n"/>
      <x:c r="B458" s="11" t="n"/>
      <x:c r="C458" s="11" t="n"/>
      <x:c r="D458" s="11" t="n"/>
    </x:row>
    <x:row r="459">
      <x:c r="A459" s="11" t="n"/>
      <x:c r="B459" s="11" t="n"/>
      <x:c r="C459" s="11" t="n"/>
      <x:c r="D459" s="11" t="n"/>
    </x:row>
    <x:row r="460">
      <x:c r="A460" s="11" t="n"/>
      <x:c r="B460" s="11" t="n"/>
      <x:c r="C460" s="11" t="n"/>
      <x:c r="D460" s="11" t="n"/>
    </x:row>
    <x:row r="461">
      <x:c r="A461" s="11" t="n"/>
      <x:c r="B461" s="11" t="n"/>
      <x:c r="C461" s="11" t="n"/>
      <x:c r="D461" s="11" t="n"/>
    </x:row>
    <x:row r="462">
      <x:c r="A462" s="11" t="n"/>
      <x:c r="B462" s="11" t="n"/>
      <x:c r="C462" s="11" t="n"/>
      <x:c r="D462" s="11" t="n"/>
    </x:row>
    <x:row r="463">
      <x:c r="A463" s="11" t="n"/>
      <x:c r="B463" s="11" t="n"/>
      <x:c r="C463" s="11" t="n"/>
      <x:c r="D463" s="11" t="n"/>
    </x:row>
    <x:row r="464">
      <x:c r="A464" s="11" t="n"/>
      <x:c r="B464" s="11" t="n"/>
      <x:c r="C464" s="11" t="n"/>
      <x:c r="D464" s="11" t="n"/>
    </x:row>
    <x:row r="465">
      <x:c r="A465" s="11" t="n"/>
      <x:c r="B465" s="11" t="n"/>
      <x:c r="C465" s="11" t="n"/>
      <x:c r="D465" s="11" t="n"/>
    </x:row>
    <x:row r="466">
      <x:c r="A466" s="11" t="n"/>
      <x:c r="B466" s="11" t="n"/>
      <x:c r="C466" s="11" t="n"/>
      <x:c r="D466" s="11" t="n"/>
    </x:row>
    <x:row r="467">
      <x:c r="A467" s="11" t="n"/>
      <x:c r="B467" s="11" t="n"/>
      <x:c r="C467" s="11" t="n"/>
      <x:c r="D467" s="11" t="n"/>
    </x:row>
    <x:row r="468">
      <x:c r="A468" s="11" t="n"/>
      <x:c r="B468" s="11" t="n"/>
      <x:c r="C468" s="11" t="n"/>
      <x:c r="D468" s="11" t="n"/>
    </x:row>
    <x:row r="469">
      <x:c r="A469" s="11" t="n"/>
      <x:c r="B469" s="11" t="n"/>
      <x:c r="C469" s="11" t="n"/>
      <x:c r="D469" s="11" t="n"/>
    </x:row>
    <x:row r="470">
      <x:c r="A470" s="11" t="n"/>
      <x:c r="B470" s="11" t="n"/>
      <x:c r="C470" s="11" t="n"/>
      <x:c r="D470" s="11" t="n"/>
    </x:row>
    <x:row r="471">
      <x:c r="A471" s="11" t="n"/>
      <x:c r="B471" s="11" t="n"/>
      <x:c r="C471" s="11" t="n"/>
      <x:c r="D471" s="11" t="n"/>
    </x:row>
    <x:row r="472">
      <x:c r="A472" s="11" t="n"/>
      <x:c r="B472" s="11" t="n"/>
      <x:c r="C472" s="11" t="n"/>
      <x:c r="D472" s="11" t="n"/>
    </x:row>
    <x:row r="473">
      <x:c r="A473" s="11" t="n"/>
      <x:c r="B473" s="11" t="n"/>
      <x:c r="C473" s="11" t="n"/>
      <x:c r="D473" s="11" t="n"/>
    </x:row>
    <x:row r="474">
      <x:c r="A474" s="11" t="n"/>
      <x:c r="B474" s="11" t="n"/>
      <x:c r="C474" s="11" t="n"/>
      <x:c r="D474" s="11" t="n"/>
    </x:row>
    <x:row r="475">
      <x:c r="A475" s="11" t="n"/>
      <x:c r="B475" s="11" t="n"/>
      <x:c r="C475" s="11" t="n"/>
      <x:c r="D475" s="11" t="n"/>
    </x:row>
    <x:row r="476">
      <x:c r="A476" s="11" t="n"/>
      <x:c r="B476" s="11" t="n"/>
      <x:c r="C476" s="11" t="n"/>
      <x:c r="D476" s="11" t="n"/>
    </x:row>
    <x:row r="477">
      <x:c r="A477" s="11" t="n"/>
      <x:c r="B477" s="11" t="n"/>
      <x:c r="C477" s="11" t="n"/>
      <x:c r="D477" s="11" t="n"/>
    </x:row>
    <x:row r="478">
      <x:c r="A478" s="11" t="n"/>
      <x:c r="B478" s="11" t="n"/>
      <x:c r="C478" s="11" t="n"/>
      <x:c r="D478" s="11" t="n"/>
    </x:row>
    <x:row r="479">
      <x:c r="A479" s="11" t="n"/>
      <x:c r="B479" s="11" t="n"/>
      <x:c r="C479" s="11" t="n"/>
      <x:c r="D479" s="11" t="n"/>
    </x:row>
    <x:row r="480">
      <x:c r="A480" s="11" t="n"/>
      <x:c r="B480" s="11" t="n"/>
      <x:c r="C480" s="11" t="n"/>
      <x:c r="D480" s="11" t="n"/>
    </x:row>
    <x:row r="481">
      <x:c r="A481" s="11" t="n"/>
      <x:c r="B481" s="11" t="n"/>
      <x:c r="C481" s="11" t="n"/>
      <x:c r="D481" s="11" t="n"/>
    </x:row>
    <x:row r="482">
      <x:c r="A482" s="11" t="n"/>
      <x:c r="B482" s="11" t="n"/>
      <x:c r="C482" s="11" t="n"/>
      <x:c r="D482" s="11" t="n"/>
    </x:row>
    <x:row r="483">
      <x:c r="A483" s="11" t="n"/>
      <x:c r="B483" s="11" t="n"/>
      <x:c r="C483" s="11" t="n"/>
      <x:c r="D483" s="11" t="n"/>
    </x:row>
    <x:row r="484">
      <x:c r="A484" s="11" t="n"/>
      <x:c r="B484" s="11" t="n"/>
      <x:c r="C484" s="11" t="n"/>
      <x:c r="D484" s="11" t="n"/>
    </x:row>
    <x:row r="485">
      <x:c r="A485" s="11" t="n"/>
      <x:c r="B485" s="11" t="n"/>
      <x:c r="C485" s="11" t="n"/>
      <x:c r="D485" s="11" t="n"/>
    </x:row>
    <x:row r="486">
      <x:c r="A486" s="11" t="n"/>
      <x:c r="B486" s="11" t="n"/>
      <x:c r="C486" s="11" t="n"/>
      <x:c r="D486" s="11" t="n"/>
    </x:row>
    <x:row r="487">
      <x:c r="A487" s="11" t="n"/>
      <x:c r="B487" s="11" t="n"/>
      <x:c r="C487" s="11" t="n"/>
      <x:c r="D487" s="11" t="n"/>
    </x:row>
    <x:row r="488">
      <x:c r="A488" s="11" t="n"/>
      <x:c r="B488" s="11" t="n"/>
      <x:c r="C488" s="11" t="n"/>
      <x:c r="D488" s="11" t="n"/>
    </x:row>
    <x:row r="489">
      <x:c r="A489" s="11" t="n"/>
      <x:c r="B489" s="11" t="n"/>
      <x:c r="C489" s="11" t="n"/>
      <x:c r="D489" s="11" t="n"/>
    </x:row>
    <x:row r="490">
      <x:c r="A490" s="11" t="n"/>
      <x:c r="B490" s="11" t="n"/>
      <x:c r="C490" s="11" t="n"/>
      <x:c r="D490" s="11" t="n"/>
    </x:row>
    <x:row r="491">
      <x:c r="A491" s="11" t="n"/>
      <x:c r="B491" s="11" t="n"/>
      <x:c r="C491" s="11" t="n"/>
      <x:c r="D491" s="11" t="n"/>
    </x:row>
    <x:row r="492">
      <x:c r="A492" s="11" t="n"/>
      <x:c r="B492" s="11" t="n"/>
      <x:c r="C492" s="11" t="n"/>
      <x:c r="D492" s="11" t="n"/>
    </x:row>
    <x:row r="493">
      <x:c r="A493" s="11" t="n"/>
      <x:c r="B493" s="11" t="n"/>
      <x:c r="C493" s="11" t="n"/>
      <x:c r="D493" s="11" t="n"/>
    </x:row>
    <x:row r="494">
      <x:c r="A494" s="11" t="n"/>
      <x:c r="B494" s="11" t="n"/>
      <x:c r="C494" s="11" t="n"/>
      <x:c r="D494" s="11" t="n"/>
    </x:row>
    <x:row r="495">
      <x:c r="A495" s="11" t="n"/>
      <x:c r="B495" s="11" t="n"/>
      <x:c r="C495" s="11" t="n"/>
      <x:c r="D495" s="11" t="n"/>
    </x:row>
    <x:row r="496">
      <x:c r="A496" s="11" t="n"/>
      <x:c r="B496" s="11" t="n"/>
      <x:c r="C496" s="11" t="n"/>
      <x:c r="D496" s="11" t="n"/>
    </x:row>
    <x:row r="497">
      <x:c r="A497" s="11" t="n"/>
      <x:c r="B497" s="11" t="n"/>
      <x:c r="C497" s="11" t="n"/>
      <x:c r="D497" s="11" t="n"/>
    </x:row>
    <x:row r="498">
      <x:c r="A498" s="11" t="n"/>
      <x:c r="B498" s="11" t="n"/>
      <x:c r="C498" s="11" t="n"/>
      <x:c r="D498" s="11" t="n"/>
    </x:row>
    <x:row r="499">
      <x:c r="A499" s="11" t="n"/>
      <x:c r="B499" s="11" t="n"/>
      <x:c r="C499" s="11" t="n"/>
      <x:c r="D499" s="11" t="n"/>
    </x:row>
    <x:row r="500">
      <x:c r="A500" s="11" t="n"/>
      <x:c r="B500" s="11" t="n"/>
      <x:c r="C500" s="11" t="n"/>
      <x:c r="D500" s="11" t="n"/>
    </x:row>
    <x:row r="501">
      <x:c r="A501" s="11" t="n"/>
      <x:c r="B501" s="11" t="n"/>
      <x:c r="C501" s="11" t="n"/>
      <x:c r="D501" s="11" t="n"/>
    </x:row>
    <x:row r="502">
      <x:c r="A502" s="11" t="n"/>
      <x:c r="B502" s="11" t="n"/>
      <x:c r="C502" s="11" t="n"/>
      <x:c r="D502" s="11" t="n"/>
    </x:row>
    <x:row r="503">
      <x:c r="A503" s="11" t="n"/>
      <x:c r="B503" s="11" t="n"/>
      <x:c r="C503" s="11" t="n"/>
      <x:c r="D503" s="11" t="n"/>
    </x:row>
    <x:row r="504">
      <x:c r="A504" s="11" t="n"/>
      <x:c r="B504" s="11" t="n"/>
      <x:c r="C504" s="11" t="n"/>
      <x:c r="D504" s="11" t="n"/>
    </x:row>
    <x:row r="505">
      <x:c r="A505" s="11" t="n"/>
      <x:c r="B505" s="11" t="n"/>
      <x:c r="C505" s="11" t="n"/>
      <x:c r="D505" s="11" t="n"/>
    </x:row>
    <x:row r="506">
      <x:c r="A506" s="11" t="n"/>
      <x:c r="B506" s="11" t="n"/>
      <x:c r="C506" s="11" t="n"/>
      <x:c r="D506" s="11" t="n"/>
    </x:row>
    <x:row r="507">
      <x:c r="A507" s="11" t="n"/>
      <x:c r="B507" s="11" t="n"/>
      <x:c r="C507" s="11" t="n"/>
      <x:c r="D507" s="11" t="n"/>
    </x:row>
    <x:row r="508">
      <x:c r="A508" s="11" t="n"/>
      <x:c r="B508" s="11" t="n"/>
      <x:c r="C508" s="11" t="n"/>
      <x:c r="D508" s="11" t="n"/>
    </x:row>
    <x:row r="509">
      <x:c r="A509" s="11" t="n"/>
      <x:c r="B509" s="11" t="n"/>
      <x:c r="C509" s="11" t="n"/>
      <x:c r="D509" s="11" t="n"/>
    </x:row>
    <x:row r="510">
      <x:c r="A510" s="11" t="n"/>
      <x:c r="B510" s="11" t="n"/>
      <x:c r="C510" s="11" t="n"/>
      <x:c r="D510" s="11" t="n"/>
    </x:row>
    <x:row r="511">
      <x:c r="A511" s="11" t="n"/>
      <x:c r="B511" s="11" t="n"/>
      <x:c r="C511" s="11" t="n"/>
      <x:c r="D511" s="11" t="n"/>
    </x:row>
    <x:row r="512">
      <x:c r="A512" s="11" t="n"/>
      <x:c r="B512" s="11" t="n"/>
      <x:c r="C512" s="11" t="n"/>
      <x:c r="D512" s="11" t="n"/>
    </x:row>
    <x:row r="513">
      <x:c r="A513" s="11" t="n"/>
      <x:c r="B513" s="11" t="n"/>
      <x:c r="C513" s="11" t="n"/>
      <x:c r="D513" s="11" t="n"/>
    </x:row>
    <x:row r="514">
      <x:c r="A514" s="11" t="n"/>
      <x:c r="B514" s="11" t="n"/>
      <x:c r="C514" s="11" t="n"/>
      <x:c r="D514" s="11" t="n"/>
    </x:row>
    <x:row r="515">
      <x:c r="A515" s="11" t="n"/>
      <x:c r="B515" s="11" t="n"/>
      <x:c r="C515" s="11" t="n"/>
      <x:c r="D515" s="11" t="n"/>
    </x:row>
    <x:row r="516">
      <x:c r="A516" s="11" t="n"/>
      <x:c r="B516" s="11" t="n"/>
      <x:c r="C516" s="11" t="n"/>
      <x:c r="D516" s="11" t="n"/>
    </x:row>
    <x:row r="517">
      <x:c r="A517" s="11" t="n"/>
      <x:c r="B517" s="11" t="n"/>
      <x:c r="C517" s="11" t="n"/>
      <x:c r="D517" s="11" t="n"/>
    </x:row>
    <x:row r="518">
      <x:c r="A518" s="11" t="n"/>
      <x:c r="B518" s="11" t="n"/>
      <x:c r="C518" s="11" t="n"/>
      <x:c r="D518" s="11" t="n"/>
    </x:row>
    <x:row r="519">
      <x:c r="A519" s="11" t="n"/>
      <x:c r="B519" s="11" t="n"/>
      <x:c r="C519" s="11" t="n"/>
      <x:c r="D519" s="11" t="n"/>
    </x:row>
    <x:row r="520">
      <x:c r="A520" s="11" t="n"/>
      <x:c r="B520" s="11" t="n"/>
      <x:c r="C520" s="11" t="n"/>
      <x:c r="D520" s="11" t="n"/>
    </x:row>
    <x:row r="521">
      <x:c r="A521" s="11" t="n"/>
      <x:c r="B521" s="11" t="n"/>
      <x:c r="C521" s="11" t="n"/>
      <x:c r="D521" s="11" t="n"/>
    </x:row>
    <x:row r="522">
      <x:c r="A522" s="11" t="n"/>
      <x:c r="B522" s="11" t="n"/>
      <x:c r="C522" s="11" t="n"/>
      <x:c r="D522" s="11" t="n"/>
    </x:row>
    <x:row r="523">
      <x:c r="A523" s="11" t="n"/>
      <x:c r="B523" s="11" t="n"/>
      <x:c r="C523" s="11" t="n"/>
      <x:c r="D523" s="11" t="n"/>
    </x:row>
    <x:row r="524">
      <x:c r="A524" s="11" t="n"/>
      <x:c r="B524" s="11" t="n"/>
      <x:c r="C524" s="11" t="n"/>
      <x:c r="D524" s="11" t="n"/>
    </x:row>
    <x:row r="525">
      <x:c r="A525" s="11" t="n"/>
      <x:c r="B525" s="11" t="n"/>
      <x:c r="C525" s="11" t="n"/>
      <x:c r="D525" s="11" t="n"/>
    </x:row>
    <x:row r="526">
      <x:c r="A526" s="11" t="n"/>
      <x:c r="B526" s="11" t="n"/>
      <x:c r="C526" s="11" t="n"/>
      <x:c r="D526" s="11" t="n"/>
    </x:row>
    <x:row r="527">
      <x:c r="A527" s="11" t="n"/>
      <x:c r="B527" s="11" t="n"/>
      <x:c r="C527" s="11" t="n"/>
      <x:c r="D527" s="11" t="n"/>
    </x:row>
    <x:row r="528">
      <x:c r="A528" s="11" t="n"/>
      <x:c r="B528" s="11" t="n"/>
      <x:c r="C528" s="11" t="n"/>
      <x:c r="D528" s="11" t="n"/>
    </x:row>
    <x:row r="529">
      <x:c r="A529" s="11" t="n"/>
      <x:c r="B529" s="11" t="n"/>
      <x:c r="C529" s="11" t="n"/>
      <x:c r="D529" s="11" t="n"/>
    </x:row>
    <x:row r="530">
      <x:c r="A530" s="11" t="n"/>
      <x:c r="B530" s="11" t="n"/>
      <x:c r="C530" s="11" t="n"/>
      <x:c r="D530" s="11" t="n"/>
    </x:row>
    <x:row r="531">
      <x:c r="A531" s="11" t="n"/>
      <x:c r="B531" s="11" t="n"/>
      <x:c r="C531" s="11" t="n"/>
      <x:c r="D531" s="11" t="n"/>
    </x:row>
    <x:row r="532">
      <x:c r="A532" s="11" t="n"/>
      <x:c r="B532" s="11" t="n"/>
      <x:c r="C532" s="11" t="n"/>
      <x:c r="D532" s="11" t="n"/>
    </x:row>
    <x:row r="533">
      <x:c r="A533" s="11" t="n"/>
      <x:c r="B533" s="11" t="n"/>
      <x:c r="C533" s="11" t="n"/>
      <x:c r="D533" s="11" t="n"/>
    </x:row>
    <x:row r="534">
      <x:c r="A534" s="11" t="n"/>
      <x:c r="B534" s="11" t="n"/>
      <x:c r="C534" s="11" t="n"/>
      <x:c r="D534" s="11" t="n"/>
    </x:row>
    <x:row r="535">
      <x:c r="A535" s="11" t="n"/>
      <x:c r="B535" s="11" t="n"/>
      <x:c r="C535" s="11" t="n"/>
      <x:c r="D535" s="11" t="n"/>
    </x:row>
    <x:row r="536">
      <x:c r="A536" s="11" t="n"/>
      <x:c r="B536" s="11" t="n"/>
      <x:c r="C536" s="11" t="n"/>
      <x:c r="D536" s="11" t="n"/>
    </x:row>
    <x:row r="537">
      <x:c r="A537" s="11" t="n"/>
      <x:c r="B537" s="11" t="n"/>
      <x:c r="C537" s="11" t="n"/>
      <x:c r="D537" s="11" t="n"/>
    </x:row>
    <x:row r="538">
      <x:c r="A538" s="11" t="n"/>
      <x:c r="B538" s="11" t="n"/>
      <x:c r="C538" s="11" t="n"/>
      <x:c r="D538" s="11" t="n"/>
    </x:row>
    <x:row r="539">
      <x:c r="A539" s="11" t="n"/>
      <x:c r="B539" s="11" t="n"/>
      <x:c r="C539" s="11" t="n"/>
      <x:c r="D539" s="11" t="n"/>
    </x:row>
    <x:row r="540">
      <x:c r="A540" s="11" t="n"/>
      <x:c r="B540" s="11" t="n"/>
      <x:c r="C540" s="11" t="n"/>
      <x:c r="D540" s="11" t="n"/>
    </x:row>
    <x:row r="541">
      <x:c r="A541" s="11" t="n"/>
      <x:c r="B541" s="11" t="n"/>
      <x:c r="C541" s="11" t="n"/>
      <x:c r="D541" s="11" t="n"/>
    </x:row>
    <x:row r="542">
      <x:c r="A542" s="11" t="n"/>
      <x:c r="B542" s="11" t="n"/>
      <x:c r="C542" s="11" t="n"/>
      <x:c r="D542" s="11" t="n"/>
    </x:row>
    <x:row r="543">
      <x:c r="A543" s="11" t="n"/>
      <x:c r="B543" s="11" t="n"/>
      <x:c r="C543" s="11" t="n"/>
      <x:c r="D543" s="11" t="n"/>
    </x:row>
    <x:row r="544">
      <x:c r="A544" s="11" t="n"/>
      <x:c r="B544" s="11" t="n"/>
      <x:c r="C544" s="11" t="n"/>
      <x:c r="D544" s="11" t="n"/>
    </x:row>
    <x:row r="545">
      <x:c r="A545" s="11" t="n"/>
      <x:c r="B545" s="11" t="n"/>
      <x:c r="C545" s="11" t="n"/>
      <x:c r="D545" s="11" t="n"/>
    </x:row>
    <x:row r="546">
      <x:c r="A546" s="11" t="n"/>
      <x:c r="B546" s="11" t="n"/>
      <x:c r="C546" s="11" t="n"/>
      <x:c r="D546" s="11" t="n"/>
    </x:row>
    <x:row r="547">
      <x:c r="A547" s="11" t="n"/>
      <x:c r="B547" s="11" t="n"/>
      <x:c r="C547" s="11" t="n"/>
      <x:c r="D547" s="11" t="n"/>
    </x:row>
    <x:row r="548">
      <x:c r="A548" s="11" t="n"/>
      <x:c r="B548" s="11" t="n"/>
      <x:c r="C548" s="11" t="n"/>
      <x:c r="D548" s="11" t="n"/>
    </x:row>
    <x:row r="549">
      <x:c r="A549" s="11" t="n"/>
      <x:c r="B549" s="11" t="n"/>
      <x:c r="C549" s="11" t="n"/>
      <x:c r="D549" s="11" t="n"/>
    </x:row>
    <x:row r="550">
      <x:c r="A550" s="11" t="n"/>
      <x:c r="B550" s="11" t="n"/>
      <x:c r="C550" s="11" t="n"/>
      <x:c r="D550" s="11" t="n"/>
    </x:row>
    <x:row r="551">
      <x:c r="A551" s="11" t="n"/>
      <x:c r="B551" s="11" t="n"/>
      <x:c r="C551" s="11" t="n"/>
      <x:c r="D551" s="11" t="n"/>
    </x:row>
    <x:row r="552">
      <x:c r="A552" s="11" t="n"/>
      <x:c r="B552" s="11" t="n"/>
      <x:c r="C552" s="11" t="n"/>
      <x:c r="D552" s="11" t="n"/>
    </x:row>
    <x:row r="553">
      <x:c r="A553" s="11" t="n"/>
      <x:c r="B553" s="11" t="n"/>
      <x:c r="C553" s="11" t="n"/>
      <x:c r="D553" s="11" t="n"/>
    </x:row>
    <x:row r="554">
      <x:c r="A554" s="11" t="n"/>
      <x:c r="B554" s="11" t="n"/>
      <x:c r="C554" s="11" t="n"/>
      <x:c r="D554" s="11" t="n"/>
    </x:row>
    <x:row r="555">
      <x:c r="A555" s="11" t="n"/>
      <x:c r="B555" s="11" t="n"/>
      <x:c r="C555" s="11" t="n"/>
      <x:c r="D555" s="11" t="n"/>
    </x:row>
    <x:row r="556">
      <x:c r="A556" s="11" t="n"/>
      <x:c r="B556" s="11" t="n"/>
      <x:c r="C556" s="11" t="n"/>
      <x:c r="D556" s="11" t="n"/>
    </x:row>
    <x:row r="557">
      <x:c r="A557" s="11" t="n"/>
      <x:c r="B557" s="11" t="n"/>
      <x:c r="C557" s="11" t="n"/>
      <x:c r="D557" s="11" t="n"/>
    </x:row>
    <x:row r="558">
      <x:c r="A558" s="11" t="n"/>
      <x:c r="B558" s="11" t="n"/>
      <x:c r="C558" s="11" t="n"/>
      <x:c r="D558" s="11" t="n"/>
    </x:row>
    <x:row r="559">
      <x:c r="A559" s="11" t="n"/>
      <x:c r="B559" s="11" t="n"/>
      <x:c r="C559" s="11" t="n"/>
      <x:c r="D559" s="11" t="n"/>
    </x:row>
    <x:row r="560">
      <x:c r="A560" s="11" t="n"/>
      <x:c r="B560" s="11" t="n"/>
      <x:c r="C560" s="11" t="n"/>
      <x:c r="D560" s="11" t="n"/>
    </x:row>
    <x:row r="561">
      <x:c r="A561" s="11" t="n"/>
      <x:c r="B561" s="11" t="n"/>
      <x:c r="C561" s="11" t="n"/>
      <x:c r="D561" s="11" t="n"/>
    </x:row>
    <x:row r="562">
      <x:c r="A562" s="11" t="n"/>
      <x:c r="B562" s="11" t="n"/>
      <x:c r="C562" s="11" t="n"/>
      <x:c r="D562" s="11" t="n"/>
    </x:row>
    <x:row r="563">
      <x:c r="A563" s="11" t="n"/>
      <x:c r="B563" s="11" t="n"/>
      <x:c r="C563" s="11" t="n"/>
      <x:c r="D563" s="11" t="n"/>
    </x:row>
    <x:row r="564">
      <x:c r="A564" s="11" t="n"/>
      <x:c r="B564" s="11" t="n"/>
      <x:c r="C564" s="11" t="n"/>
      <x:c r="D564" s="11" t="n"/>
    </x:row>
    <x:row r="565">
      <x:c r="A565" s="11" t="n"/>
      <x:c r="B565" s="11" t="n"/>
      <x:c r="C565" s="11" t="n"/>
      <x:c r="D565" s="11" t="n"/>
    </x:row>
    <x:row r="566">
      <x:c r="A566" s="11" t="n"/>
      <x:c r="B566" s="11" t="n"/>
      <x:c r="C566" s="11" t="n"/>
      <x:c r="D566" s="11" t="n"/>
    </x:row>
    <x:row r="567">
      <x:c r="A567" s="11" t="n"/>
      <x:c r="B567" s="11" t="n"/>
      <x:c r="C567" s="11" t="n"/>
      <x:c r="D567" s="11" t="n"/>
    </x:row>
    <x:row r="568">
      <x:c r="A568" s="11" t="n"/>
      <x:c r="B568" s="11" t="n"/>
      <x:c r="C568" s="11" t="n"/>
      <x:c r="D568" s="11" t="n"/>
    </x:row>
    <x:row r="569">
      <x:c r="A569" s="11" t="n"/>
      <x:c r="B569" s="11" t="n"/>
      <x:c r="C569" s="11" t="n"/>
      <x:c r="D569" s="11" t="n"/>
    </x:row>
    <x:row r="570">
      <x:c r="A570" s="11" t="n"/>
      <x:c r="B570" s="11" t="n"/>
      <x:c r="C570" s="11" t="n"/>
      <x:c r="D570" s="11" t="n"/>
    </x:row>
    <x:row r="571">
      <x:c r="A571" s="11" t="n"/>
      <x:c r="B571" s="11" t="n"/>
      <x:c r="C571" s="11" t="n"/>
      <x:c r="D571" s="11" t="n"/>
    </x:row>
    <x:row r="572">
      <x:c r="A572" s="11" t="n"/>
      <x:c r="B572" s="11" t="n"/>
      <x:c r="C572" s="11" t="n"/>
      <x:c r="D572" s="11" t="n"/>
    </x:row>
    <x:row r="573">
      <x:c r="A573" s="11" t="n"/>
      <x:c r="B573" s="11" t="n"/>
      <x:c r="C573" s="11" t="n"/>
      <x:c r="D573" s="11" t="n"/>
    </x:row>
    <x:row r="574">
      <x:c r="A574" s="11" t="n"/>
      <x:c r="B574" s="11" t="n"/>
      <x:c r="C574" s="11" t="n"/>
      <x:c r="D574" s="11" t="n"/>
    </x:row>
    <x:row r="575">
      <x:c r="A575" s="11" t="n"/>
      <x:c r="B575" s="11" t="n"/>
      <x:c r="C575" s="11" t="n"/>
      <x:c r="D575" s="11" t="n"/>
    </x:row>
    <x:row r="576">
      <x:c r="A576" s="11" t="n"/>
      <x:c r="B576" s="11" t="n"/>
      <x:c r="C576" s="11" t="n"/>
      <x:c r="D576" s="11" t="n"/>
    </x:row>
    <x:row r="577">
      <x:c r="A577" s="11" t="n"/>
      <x:c r="B577" s="11" t="n"/>
      <x:c r="C577" s="11" t="n"/>
      <x:c r="D577" s="11" t="n"/>
    </x:row>
    <x:row r="578">
      <x:c r="A578" s="11" t="n"/>
      <x:c r="B578" s="11" t="n"/>
      <x:c r="C578" s="11" t="n"/>
      <x:c r="D578" s="11" t="n"/>
    </x:row>
    <x:row r="579">
      <x:c r="A579" s="11" t="n"/>
      <x:c r="B579" s="11" t="n"/>
      <x:c r="C579" s="11" t="n"/>
      <x:c r="D579" s="11" t="n"/>
    </x:row>
    <x:row r="580">
      <x:c r="A580" s="11" t="n"/>
      <x:c r="B580" s="11" t="n"/>
      <x:c r="C580" s="11" t="n"/>
      <x:c r="D580" s="11" t="n"/>
    </x:row>
    <x:row r="581">
      <x:c r="A581" s="11" t="n"/>
      <x:c r="B581" s="11" t="n"/>
      <x:c r="C581" s="11" t="n"/>
      <x:c r="D581" s="11" t="n"/>
    </x:row>
    <x:row r="582">
      <x:c r="A582" s="11" t="n"/>
      <x:c r="B582" s="11" t="n"/>
      <x:c r="C582" s="11" t="n"/>
      <x:c r="D582" s="11" t="n"/>
    </x:row>
    <x:row r="583">
      <x:c r="A583" s="11" t="n"/>
      <x:c r="B583" s="11" t="n"/>
      <x:c r="C583" s="11" t="n"/>
      <x:c r="D583" s="11" t="n"/>
    </x:row>
    <x:row r="584">
      <x:c r="A584" s="11" t="n"/>
      <x:c r="B584" s="11" t="n"/>
      <x:c r="C584" s="11" t="n"/>
      <x:c r="D584" s="11" t="n"/>
    </x:row>
    <x:row r="585">
      <x:c r="A585" s="11" t="n"/>
      <x:c r="B585" s="11" t="n"/>
      <x:c r="C585" s="11" t="n"/>
      <x:c r="D585" s="11" t="n"/>
    </x:row>
    <x:row r="586">
      <x:c r="A586" s="11" t="n"/>
      <x:c r="B586" s="11" t="n"/>
      <x:c r="C586" s="11" t="n"/>
      <x:c r="D586" s="11" t="n"/>
    </x:row>
    <x:row r="587">
      <x:c r="A587" s="11" t="n"/>
      <x:c r="B587" s="11" t="n"/>
      <x:c r="C587" s="11" t="n"/>
      <x:c r="D587" s="11" t="n"/>
    </x:row>
    <x:row r="588">
      <x:c r="A588" s="11" t="n"/>
      <x:c r="B588" s="11" t="n"/>
      <x:c r="C588" s="11" t="n"/>
      <x:c r="D588" s="11" t="n"/>
    </x:row>
    <x:row r="589">
      <x:c r="A589" s="11" t="n"/>
      <x:c r="B589" s="11" t="n"/>
      <x:c r="C589" s="11" t="n"/>
      <x:c r="D589" s="11" t="n"/>
    </x:row>
    <x:row r="590">
      <x:c r="A590" s="11" t="n"/>
      <x:c r="B590" s="11" t="n"/>
      <x:c r="C590" s="11" t="n"/>
      <x:c r="D590" s="11" t="n"/>
    </x:row>
    <x:row r="591">
      <x:c r="A591" s="11" t="n"/>
      <x:c r="B591" s="11" t="n"/>
      <x:c r="C591" s="11" t="n"/>
      <x:c r="D591" s="11" t="n"/>
    </x:row>
    <x:row r="592">
      <x:c r="A592" s="11" t="n"/>
      <x:c r="B592" s="11" t="n"/>
      <x:c r="C592" s="11" t="n"/>
      <x:c r="D592" s="11" t="n"/>
    </x:row>
    <x:row r="593">
      <x:c r="A593" s="11" t="n"/>
      <x:c r="B593" s="11" t="n"/>
      <x:c r="C593" s="11" t="n"/>
      <x:c r="D593" s="11" t="n"/>
    </x:row>
    <x:row r="594">
      <x:c r="A594" s="11" t="n"/>
      <x:c r="B594" s="11" t="n"/>
      <x:c r="C594" s="11" t="n"/>
      <x:c r="D594" s="11" t="n"/>
    </x:row>
    <x:row r="595">
      <x:c r="A595" s="11" t="n"/>
      <x:c r="B595" s="11" t="n"/>
      <x:c r="C595" s="11" t="n"/>
      <x:c r="D595" s="11" t="n"/>
    </x:row>
    <x:row r="596">
      <x:c r="A596" s="11" t="n"/>
      <x:c r="B596" s="11" t="n"/>
      <x:c r="C596" s="11" t="n"/>
      <x:c r="D596" s="11" t="n"/>
    </x:row>
    <x:row r="597">
      <x:c r="A597" s="11" t="n"/>
      <x:c r="B597" s="11" t="n"/>
      <x:c r="C597" s="11" t="n"/>
      <x:c r="D597" s="11" t="n"/>
    </x:row>
    <x:row r="598">
      <x:c r="A598" s="11" t="n"/>
      <x:c r="B598" s="11" t="n"/>
      <x:c r="C598" s="11" t="n"/>
      <x:c r="D598" s="11" t="n"/>
    </x:row>
    <x:row r="599">
      <x:c r="A599" s="11" t="n"/>
      <x:c r="B599" s="11" t="n"/>
      <x:c r="C599" s="11" t="n"/>
      <x:c r="D599" s="11" t="n"/>
    </x:row>
    <x:row r="600">
      <x:c r="A600" s="11" t="n"/>
      <x:c r="B600" s="11" t="n"/>
      <x:c r="C600" s="11" t="n"/>
      <x:c r="D600" s="11" t="n"/>
    </x:row>
    <x:row r="601">
      <x:c r="A601" s="11" t="n"/>
      <x:c r="B601" s="11" t="n"/>
      <x:c r="C601" s="11" t="n"/>
      <x:c r="D601" s="11" t="n"/>
    </x:row>
    <x:row r="602">
      <x:c r="A602" s="11" t="n"/>
      <x:c r="B602" s="11" t="n"/>
      <x:c r="C602" s="11" t="n"/>
      <x:c r="D602" s="11" t="n"/>
    </x:row>
    <x:row r="603">
      <x:c r="A603" s="11" t="n"/>
      <x:c r="B603" s="11" t="n"/>
      <x:c r="C603" s="11" t="n"/>
      <x:c r="D603" s="11" t="n"/>
    </x:row>
    <x:row r="604">
      <x:c r="A604" s="11" t="n"/>
      <x:c r="B604" s="11" t="n"/>
      <x:c r="C604" s="11" t="n"/>
      <x:c r="D604" s="11" t="n"/>
    </x:row>
    <x:row r="605">
      <x:c r="A605" s="11" t="n"/>
      <x:c r="B605" s="11" t="n"/>
      <x:c r="C605" s="11" t="n"/>
      <x:c r="D605" s="11" t="n"/>
    </x:row>
    <x:row r="606">
      <x:c r="A606" s="11" t="n"/>
      <x:c r="B606" s="11" t="n"/>
      <x:c r="C606" s="11" t="n"/>
      <x:c r="D606" s="11" t="n"/>
    </x:row>
    <x:row r="607">
      <x:c r="A607" s="11" t="n"/>
      <x:c r="B607" s="11" t="n"/>
      <x:c r="C607" s="11" t="n"/>
      <x:c r="D607" s="11" t="n"/>
    </x:row>
    <x:row r="608">
      <x:c r="A608" s="11" t="n"/>
      <x:c r="B608" s="11" t="n"/>
      <x:c r="C608" s="11" t="n"/>
      <x:c r="D608" s="11" t="n"/>
    </x:row>
    <x:row r="609">
      <x:c r="A609" s="11" t="n"/>
      <x:c r="B609" s="11" t="n"/>
      <x:c r="C609" s="11" t="n"/>
      <x:c r="D609" s="11" t="n"/>
    </x:row>
    <x:row r="610">
      <x:c r="A610" s="11" t="n"/>
      <x:c r="B610" s="11" t="n"/>
      <x:c r="C610" s="11" t="n"/>
      <x:c r="D610" s="11" t="n"/>
    </x:row>
    <x:row r="611">
      <x:c r="A611" s="11" t="n"/>
      <x:c r="B611" s="11" t="n"/>
      <x:c r="C611" s="11" t="n"/>
      <x:c r="D611" s="11" t="n"/>
    </x:row>
    <x:row r="612">
      <x:c r="A612" s="11" t="n"/>
      <x:c r="B612" s="11" t="n"/>
      <x:c r="C612" s="11" t="n"/>
      <x:c r="D612" s="11" t="n"/>
    </x:row>
    <x:row r="613">
      <x:c r="A613" s="11" t="n"/>
      <x:c r="B613" s="11" t="n"/>
      <x:c r="C613" s="11" t="n"/>
      <x:c r="D613" s="11" t="n"/>
    </x:row>
    <x:row r="614">
      <x:c r="A614" s="11" t="n"/>
      <x:c r="B614" s="11" t="n"/>
      <x:c r="C614" s="11" t="n"/>
      <x:c r="D614" s="11" t="n"/>
    </x:row>
    <x:row r="615">
      <x:c r="A615" s="11" t="n"/>
      <x:c r="B615" s="11" t="n"/>
      <x:c r="C615" s="11" t="n"/>
      <x:c r="D615" s="11" t="n"/>
    </x:row>
    <x:row r="616">
      <x:c r="A616" s="11" t="n"/>
      <x:c r="B616" s="11" t="n"/>
      <x:c r="C616" s="11" t="n"/>
      <x:c r="D616" s="11" t="n"/>
    </x:row>
    <x:row r="617">
      <x:c r="A617" s="11" t="n"/>
      <x:c r="B617" s="11" t="n"/>
      <x:c r="C617" s="11" t="n"/>
      <x:c r="D617" s="11" t="n"/>
    </x:row>
    <x:row r="618">
      <x:c r="A618" s="11" t="n"/>
      <x:c r="B618" s="11" t="n"/>
      <x:c r="C618" s="11" t="n"/>
      <x:c r="D618" s="11" t="n"/>
    </x:row>
    <x:row r="619">
      <x:c r="A619" s="11" t="n"/>
      <x:c r="B619" s="11" t="n"/>
      <x:c r="C619" s="11" t="n"/>
      <x:c r="D619" s="11" t="n"/>
    </x:row>
    <x:row r="620">
      <x:c r="A620" s="11" t="n"/>
      <x:c r="B620" s="11" t="n"/>
      <x:c r="C620" s="11" t="n"/>
      <x:c r="D620" s="11" t="n"/>
    </x:row>
    <x:row r="621">
      <x:c r="A621" s="11" t="n"/>
      <x:c r="B621" s="11" t="n"/>
      <x:c r="C621" s="11" t="n"/>
      <x:c r="D621" s="11" t="n"/>
    </x:row>
    <x:row r="622">
      <x:c r="A622" s="11" t="n"/>
      <x:c r="B622" s="11" t="n"/>
      <x:c r="C622" s="11" t="n"/>
      <x:c r="D622" s="11" t="n"/>
    </x:row>
    <x:row r="623">
      <x:c r="A623" s="11" t="n"/>
      <x:c r="B623" s="11" t="n"/>
      <x:c r="C623" s="11" t="n"/>
      <x:c r="D623" s="11" t="n"/>
    </x:row>
    <x:row r="624">
      <x:c r="A624" s="11" t="n"/>
      <x:c r="B624" s="11" t="n"/>
      <x:c r="C624" s="11" t="n"/>
      <x:c r="D624" s="11" t="n"/>
    </x:row>
    <x:row r="625">
      <x:c r="A625" s="11" t="n"/>
      <x:c r="B625" s="11" t="n"/>
      <x:c r="C625" s="11" t="n"/>
      <x:c r="D625" s="11" t="n"/>
    </x:row>
    <x:row r="626">
      <x:c r="A626" s="11" t="n"/>
      <x:c r="B626" s="11" t="n"/>
      <x:c r="C626" s="11" t="n"/>
      <x:c r="D626" s="11" t="n"/>
    </x:row>
    <x:row r="627">
      <x:c r="A627" s="11" t="n"/>
      <x:c r="B627" s="11" t="n"/>
      <x:c r="C627" s="11" t="n"/>
      <x:c r="D627" s="11" t="n"/>
    </x:row>
    <x:row r="628">
      <x:c r="A628" s="11" t="n"/>
      <x:c r="B628" s="11" t="n"/>
      <x:c r="C628" s="11" t="n"/>
      <x:c r="D628" s="11" t="n"/>
    </x:row>
    <x:row r="629">
      <x:c r="A629" s="11" t="n"/>
      <x:c r="B629" s="11" t="n"/>
      <x:c r="C629" s="11" t="n"/>
      <x:c r="D629" s="11" t="n"/>
    </x:row>
    <x:row r="630">
      <x:c r="A630" s="11" t="n"/>
      <x:c r="B630" s="11" t="n"/>
      <x:c r="C630" s="11" t="n"/>
      <x:c r="D630" s="11" t="n"/>
    </x:row>
    <x:row r="631">
      <x:c r="A631" s="11" t="n"/>
      <x:c r="B631" s="11" t="n"/>
      <x:c r="C631" s="11" t="n"/>
      <x:c r="D631" s="11" t="n"/>
    </x:row>
    <x:row r="632">
      <x:c r="A632" s="11" t="n"/>
      <x:c r="B632" s="11" t="n"/>
      <x:c r="C632" s="11" t="n"/>
      <x:c r="D632" s="11" t="n"/>
    </x:row>
    <x:row r="633">
      <x:c r="A633" s="11" t="n"/>
      <x:c r="B633" s="11" t="n"/>
      <x:c r="C633" s="11" t="n"/>
      <x:c r="D633" s="11" t="n"/>
    </x:row>
    <x:row r="634">
      <x:c r="A634" s="11" t="n"/>
      <x:c r="B634" s="11" t="n"/>
      <x:c r="C634" s="11" t="n"/>
      <x:c r="D634" s="11" t="n"/>
    </x:row>
    <x:row r="635">
      <x:c r="A635" s="11" t="n"/>
      <x:c r="B635" s="11" t="n"/>
      <x:c r="C635" s="11" t="n"/>
      <x:c r="D635" s="11" t="n"/>
    </x:row>
    <x:row r="636">
      <x:c r="A636" s="11" t="n"/>
      <x:c r="B636" s="11" t="n"/>
      <x:c r="C636" s="11" t="n"/>
      <x:c r="D636" s="11" t="n"/>
    </x:row>
    <x:row r="637">
      <x:c r="A637" s="11" t="n"/>
      <x:c r="B637" s="11" t="n"/>
      <x:c r="C637" s="11" t="n"/>
      <x:c r="D637" s="11" t="n"/>
    </x:row>
    <x:row r="638">
      <x:c r="A638" s="11" t="n"/>
      <x:c r="B638" s="11" t="n"/>
      <x:c r="C638" s="11" t="n"/>
      <x:c r="D638" s="11" t="n"/>
    </x:row>
    <x:row r="639">
      <x:c r="A639" s="11" t="n"/>
      <x:c r="B639" s="11" t="n"/>
      <x:c r="C639" s="11" t="n"/>
      <x:c r="D639" s="11" t="n"/>
    </x:row>
    <x:row r="640">
      <x:c r="A640" s="11" t="n"/>
      <x:c r="B640" s="11" t="n"/>
      <x:c r="C640" s="11" t="n"/>
      <x:c r="D640" s="11" t="n"/>
    </x:row>
    <x:row r="641">
      <x:c r="A641" s="11" t="n"/>
      <x:c r="B641" s="11" t="n"/>
      <x:c r="C641" s="11" t="n"/>
      <x:c r="D641" s="11" t="n"/>
    </x:row>
    <x:row r="642">
      <x:c r="A642" s="11" t="n"/>
      <x:c r="B642" s="11" t="n"/>
      <x:c r="C642" s="11" t="n"/>
      <x:c r="D642" s="11" t="n"/>
    </x:row>
    <x:row r="643">
      <x:c r="A643" s="11" t="n"/>
      <x:c r="B643" s="11" t="n"/>
      <x:c r="C643" s="11" t="n"/>
      <x:c r="D643" s="11" t="n"/>
    </x:row>
    <x:row r="644">
      <x:c r="A644" s="11" t="n"/>
      <x:c r="B644" s="11" t="n"/>
      <x:c r="C644" s="11" t="n"/>
      <x:c r="D644" s="11" t="n"/>
    </x:row>
    <x:row r="645">
      <x:c r="A645" s="11" t="n"/>
      <x:c r="B645" s="11" t="n"/>
      <x:c r="C645" s="11" t="n"/>
      <x:c r="D645" s="11" t="n"/>
    </x:row>
    <x:row r="646">
      <x:c r="A646" s="11" t="n"/>
      <x:c r="B646" s="11" t="n"/>
      <x:c r="C646" s="11" t="n"/>
      <x:c r="D646" s="11" t="n"/>
    </x:row>
    <x:row r="647">
      <x:c r="A647" s="11" t="n"/>
      <x:c r="B647" s="11" t="n"/>
      <x:c r="C647" s="11" t="n"/>
      <x:c r="D647" s="11" t="n"/>
    </x:row>
    <x:row r="648">
      <x:c r="A648" s="11" t="n"/>
      <x:c r="B648" s="11" t="n"/>
      <x:c r="C648" s="11" t="n"/>
      <x:c r="D648" s="11" t="n"/>
    </x:row>
    <x:row r="649">
      <x:c r="A649" s="11" t="n"/>
      <x:c r="B649" s="11" t="n"/>
      <x:c r="C649" s="11" t="n"/>
      <x:c r="D649" s="11" t="n"/>
    </x:row>
    <x:row r="650">
      <x:c r="A650" s="11" t="n"/>
      <x:c r="B650" s="11" t="n"/>
      <x:c r="C650" s="11" t="n"/>
      <x:c r="D650" s="11" t="n"/>
    </x:row>
    <x:row r="651">
      <x:c r="A651" s="11" t="n"/>
      <x:c r="B651" s="11" t="n"/>
      <x:c r="C651" s="11" t="n"/>
      <x:c r="D651" s="11" t="n"/>
    </x:row>
    <x:row r="652">
      <x:c r="A652" s="11" t="n"/>
      <x:c r="B652" s="11" t="n"/>
      <x:c r="C652" s="11" t="n"/>
      <x:c r="D652" s="11" t="n"/>
    </x:row>
    <x:row r="653">
      <x:c r="A653" s="11" t="n"/>
      <x:c r="B653" s="11" t="n"/>
      <x:c r="C653" s="11" t="n"/>
      <x:c r="D653" s="11" t="n"/>
    </x:row>
    <x:row r="654">
      <x:c r="A654" s="11" t="n"/>
      <x:c r="B654" s="11" t="n"/>
      <x:c r="C654" s="11" t="n"/>
      <x:c r="D654" s="11" t="n"/>
    </x:row>
    <x:row r="655">
      <x:c r="A655" s="11" t="n"/>
      <x:c r="B655" s="11" t="n"/>
      <x:c r="C655" s="11" t="n"/>
      <x:c r="D655" s="11" t="n"/>
    </x:row>
    <x:row r="656">
      <x:c r="A656" s="11" t="n"/>
      <x:c r="B656" s="11" t="n"/>
      <x:c r="C656" s="11" t="n"/>
      <x:c r="D656" s="11" t="n"/>
    </x:row>
    <x:row r="657">
      <x:c r="A657" s="11" t="n"/>
      <x:c r="B657" s="11" t="n"/>
      <x:c r="C657" s="11" t="n"/>
      <x:c r="D657" s="11" t="n"/>
    </x:row>
    <x:row r="658">
      <x:c r="A658" s="11" t="n"/>
      <x:c r="B658" s="11" t="n"/>
      <x:c r="C658" s="11" t="n"/>
      <x:c r="D658" s="11" t="n"/>
    </x:row>
    <x:row r="659">
      <x:c r="A659" s="11" t="n"/>
      <x:c r="B659" s="11" t="n"/>
      <x:c r="C659" s="11" t="n"/>
      <x:c r="D659" s="11" t="n"/>
    </x:row>
    <x:row r="660">
      <x:c r="A660" s="11" t="n"/>
      <x:c r="B660" s="11" t="n"/>
      <x:c r="C660" s="11" t="n"/>
      <x:c r="D660" s="11" t="n"/>
    </x:row>
    <x:row r="661">
      <x:c r="A661" s="11" t="n"/>
      <x:c r="B661" s="11" t="n"/>
      <x:c r="C661" s="11" t="n"/>
      <x:c r="D661" s="11" t="n"/>
    </x:row>
    <x:row r="662">
      <x:c r="A662" s="11" t="n"/>
      <x:c r="B662" s="11" t="n"/>
      <x:c r="C662" s="11" t="n"/>
      <x:c r="D662" s="11" t="n"/>
    </x:row>
    <x:row r="663">
      <x:c r="A663" s="11" t="n"/>
      <x:c r="B663" s="11" t="n"/>
      <x:c r="C663" s="11" t="n"/>
      <x:c r="D663" s="11" t="n"/>
    </x:row>
    <x:row r="664">
      <x:c r="A664" s="11" t="n"/>
      <x:c r="B664" s="11" t="n"/>
      <x:c r="C664" s="11" t="n"/>
      <x:c r="D664" s="11" t="n"/>
    </x:row>
    <x:row r="665">
      <x:c r="A665" s="11" t="n"/>
      <x:c r="B665" s="11" t="n"/>
      <x:c r="C665" s="11" t="n"/>
      <x:c r="D665" s="11" t="n"/>
    </x:row>
    <x:row r="666">
      <x:c r="A666" s="11" t="n"/>
      <x:c r="B666" s="11" t="n"/>
      <x:c r="C666" s="11" t="n"/>
      <x:c r="D666" s="11" t="n"/>
    </x:row>
    <x:row r="667">
      <x:c r="A667" s="11" t="n"/>
      <x:c r="B667" s="11" t="n"/>
      <x:c r="C667" s="11" t="n"/>
      <x:c r="D667" s="11" t="n"/>
    </x:row>
    <x:row r="668">
      <x:c r="A668" s="11" t="n"/>
      <x:c r="B668" s="11" t="n"/>
      <x:c r="C668" s="11" t="n"/>
      <x:c r="D668" s="11" t="n"/>
    </x:row>
    <x:row r="669">
      <x:c r="A669" s="11" t="n"/>
      <x:c r="B669" s="11" t="n"/>
      <x:c r="C669" s="11" t="n"/>
      <x:c r="D669" s="11" t="n"/>
    </x:row>
    <x:row r="670">
      <x:c r="A670" s="11" t="n"/>
      <x:c r="B670" s="11" t="n"/>
      <x:c r="C670" s="11" t="n"/>
      <x:c r="D670" s="11" t="n"/>
    </x:row>
    <x:row r="671">
      <x:c r="A671" s="11" t="n"/>
      <x:c r="B671" s="11" t="n"/>
      <x:c r="C671" s="11" t="n"/>
      <x:c r="D671" s="11" t="n"/>
    </x:row>
    <x:row r="672">
      <x:c r="A672" s="11" t="n"/>
      <x:c r="B672" s="11" t="n"/>
      <x:c r="C672" s="11" t="n"/>
      <x:c r="D672" s="11" t="n"/>
    </x:row>
    <x:row r="673">
      <x:c r="A673" s="11" t="n"/>
      <x:c r="B673" s="11" t="n"/>
      <x:c r="C673" s="11" t="n"/>
      <x:c r="D673" s="11" t="n"/>
    </x:row>
    <x:row r="674">
      <x:c r="A674" s="11" t="n"/>
      <x:c r="B674" s="11" t="n"/>
      <x:c r="C674" s="11" t="n"/>
      <x:c r="D674" s="11" t="n"/>
    </x:row>
    <x:row r="675">
      <x:c r="A675" s="11" t="n"/>
      <x:c r="B675" s="11" t="n"/>
      <x:c r="C675" s="11" t="n"/>
      <x:c r="D675" s="11" t="n"/>
    </x:row>
    <x:row r="676">
      <x:c r="A676" s="11" t="n"/>
      <x:c r="B676" s="11" t="n"/>
      <x:c r="C676" s="11" t="n"/>
      <x:c r="D676" s="11" t="n"/>
    </x:row>
    <x:row r="677">
      <x:c r="A677" s="11" t="n"/>
      <x:c r="B677" s="11" t="n"/>
      <x:c r="C677" s="11" t="n"/>
      <x:c r="D677" s="11" t="n"/>
    </x:row>
    <x:row r="678">
      <x:c r="A678" s="11" t="n"/>
      <x:c r="B678" s="11" t="n"/>
      <x:c r="C678" s="11" t="n"/>
      <x:c r="D678" s="11" t="n"/>
    </x:row>
    <x:row r="679">
      <x:c r="A679" s="11" t="n"/>
      <x:c r="B679" s="11" t="n"/>
      <x:c r="C679" s="11" t="n"/>
      <x:c r="D679" s="11" t="n"/>
    </x:row>
    <x:row r="680">
      <x:c r="A680" s="11" t="n"/>
      <x:c r="B680" s="11" t="n"/>
      <x:c r="C680" s="11" t="n"/>
      <x:c r="D680" s="11" t="n"/>
    </x:row>
    <x:row r="681">
      <x:c r="A681" s="11" t="n"/>
      <x:c r="B681" s="11" t="n"/>
      <x:c r="C681" s="11" t="n"/>
      <x:c r="D681" s="11" t="n"/>
    </x:row>
    <x:row r="682">
      <x:c r="A682" s="11" t="n"/>
      <x:c r="B682" s="11" t="n"/>
      <x:c r="C682" s="11" t="n"/>
      <x:c r="D682" s="11" t="n"/>
    </x:row>
    <x:row r="683">
      <x:c r="A683" s="11" t="n"/>
      <x:c r="B683" s="11" t="n"/>
      <x:c r="C683" s="11" t="n"/>
      <x:c r="D683" s="11" t="n"/>
    </x:row>
    <x:row r="684">
      <x:c r="A684" s="11" t="n"/>
      <x:c r="B684" s="11" t="n"/>
      <x:c r="C684" s="11" t="n"/>
      <x:c r="D684" s="11" t="n"/>
    </x:row>
    <x:row r="685">
      <x:c r="A685" s="11" t="n"/>
      <x:c r="B685" s="11" t="n"/>
      <x:c r="C685" s="11" t="n"/>
      <x:c r="D685" s="11" t="n"/>
    </x:row>
    <x:row r="686">
      <x:c r="A686" s="11" t="n"/>
      <x:c r="B686" s="11" t="n"/>
      <x:c r="C686" s="11" t="n"/>
      <x:c r="D686" s="11" t="n"/>
    </x:row>
    <x:row r="687">
      <x:c r="A687" s="11" t="n"/>
      <x:c r="B687" s="11" t="n"/>
      <x:c r="C687" s="11" t="n"/>
      <x:c r="D687" s="11" t="n"/>
    </x:row>
    <x:row r="688">
      <x:c r="A688" s="11" t="n"/>
      <x:c r="B688" s="11" t="n"/>
      <x:c r="C688" s="11" t="n"/>
      <x:c r="D688" s="11" t="n"/>
    </x:row>
    <x:row r="689">
      <x:c r="A689" s="11" t="n"/>
      <x:c r="B689" s="11" t="n"/>
      <x:c r="C689" s="11" t="n"/>
      <x:c r="D689" s="11" t="n"/>
    </x:row>
    <x:row r="690">
      <x:c r="A690" s="11" t="n"/>
      <x:c r="B690" s="11" t="n"/>
      <x:c r="C690" s="11" t="n"/>
      <x:c r="D690" s="11" t="n"/>
    </x:row>
    <x:row r="691">
      <x:c r="A691" s="11" t="n"/>
      <x:c r="B691" s="11" t="n"/>
      <x:c r="C691" s="11" t="n"/>
      <x:c r="D691" s="11" t="n"/>
    </x:row>
    <x:row r="692">
      <x:c r="A692" s="11" t="n"/>
      <x:c r="B692" s="11" t="n"/>
      <x:c r="C692" s="11" t="n"/>
      <x:c r="D692" s="11" t="n"/>
    </x:row>
    <x:row r="693">
      <x:c r="A693" s="11" t="n"/>
      <x:c r="B693" s="11" t="n"/>
      <x:c r="C693" s="11" t="n"/>
      <x:c r="D693" s="11" t="n"/>
    </x:row>
    <x:row r="694">
      <x:c r="A694" s="11" t="n"/>
      <x:c r="B694" s="11" t="n"/>
      <x:c r="C694" s="11" t="n"/>
      <x:c r="D694" s="11" t="n"/>
    </x:row>
    <x:row r="695">
      <x:c r="A695" s="11" t="n"/>
      <x:c r="B695" s="11" t="n"/>
      <x:c r="C695" s="11" t="n"/>
      <x:c r="D695" s="11" t="n"/>
    </x:row>
    <x:row r="696">
      <x:c r="A696" s="11" t="n"/>
      <x:c r="B696" s="11" t="n"/>
      <x:c r="C696" s="11" t="n"/>
      <x:c r="D696" s="11" t="n"/>
    </x:row>
    <x:row r="697">
      <x:c r="A697" s="11" t="n"/>
      <x:c r="B697" s="11" t="n"/>
      <x:c r="C697" s="11" t="n"/>
      <x:c r="D697" s="11" t="n"/>
    </x:row>
    <x:row r="698">
      <x:c r="A698" s="11" t="n"/>
      <x:c r="B698" s="11" t="n"/>
      <x:c r="C698" s="11" t="n"/>
      <x:c r="D698" s="11" t="n"/>
    </x:row>
    <x:row r="699">
      <x:c r="A699" s="11" t="n"/>
      <x:c r="B699" s="11" t="n"/>
      <x:c r="C699" s="11" t="n"/>
      <x:c r="D699" s="11" t="n"/>
    </x:row>
    <x:row r="700">
      <x:c r="A700" s="11" t="n"/>
      <x:c r="B700" s="11" t="n"/>
      <x:c r="C700" s="11" t="n"/>
      <x:c r="D700" s="11" t="n"/>
    </x:row>
    <x:row r="701">
      <x:c r="A701" s="11" t="n"/>
      <x:c r="B701" s="11" t="n"/>
      <x:c r="C701" s="11" t="n"/>
      <x:c r="D701" s="11" t="n"/>
    </x:row>
    <x:row r="702">
      <x:c r="A702" s="11" t="n"/>
      <x:c r="B702" s="11" t="n"/>
      <x:c r="C702" s="11" t="n"/>
      <x:c r="D702" s="11" t="n"/>
    </x:row>
    <x:row r="703">
      <x:c r="A703" s="11" t="n"/>
      <x:c r="B703" s="11" t="n"/>
      <x:c r="C703" s="11" t="n"/>
      <x:c r="D703" s="11" t="n"/>
    </x:row>
    <x:row r="704">
      <x:c r="A704" s="11" t="n"/>
      <x:c r="B704" s="11" t="n"/>
      <x:c r="C704" s="11" t="n"/>
      <x:c r="D704" s="11" t="n"/>
    </x:row>
    <x:row r="705">
      <x:c r="A705" s="11" t="n"/>
      <x:c r="B705" s="11" t="n"/>
      <x:c r="C705" s="11" t="n"/>
      <x:c r="D705" s="11" t="n"/>
    </x:row>
    <x:row r="706">
      <x:c r="A706" s="11" t="n"/>
      <x:c r="B706" s="11" t="n"/>
      <x:c r="C706" s="11" t="n"/>
      <x:c r="D706" s="11" t="n"/>
    </x:row>
    <x:row r="707">
      <x:c r="A707" s="11" t="n"/>
      <x:c r="B707" s="11" t="n"/>
      <x:c r="C707" s="11" t="n"/>
      <x:c r="D707" s="11" t="n"/>
    </x:row>
    <x:row r="708">
      <x:c r="A708" s="11" t="n"/>
      <x:c r="B708" s="11" t="n"/>
      <x:c r="C708" s="11" t="n"/>
      <x:c r="D708" s="11" t="n"/>
    </x:row>
    <x:row r="709">
      <x:c r="A709" s="11" t="n"/>
      <x:c r="B709" s="11" t="n"/>
      <x:c r="C709" s="11" t="n"/>
      <x:c r="D709" s="11" t="n"/>
    </x:row>
    <x:row r="710">
      <x:c r="A710" s="11" t="n"/>
      <x:c r="B710" s="11" t="n"/>
      <x:c r="C710" s="11" t="n"/>
      <x:c r="D710" s="11" t="n"/>
    </x:row>
    <x:row r="711">
      <x:c r="A711" s="11" t="n"/>
      <x:c r="B711" s="11" t="n"/>
      <x:c r="C711" s="11" t="n"/>
      <x:c r="D711" s="11" t="n"/>
    </x:row>
    <x:row r="712">
      <x:c r="A712" s="11" t="n"/>
      <x:c r="B712" s="11" t="n"/>
      <x:c r="C712" s="11" t="n"/>
      <x:c r="D712" s="11" t="n"/>
    </x:row>
    <x:row r="713">
      <x:c r="A713" s="11" t="n"/>
      <x:c r="B713" s="11" t="n"/>
      <x:c r="C713" s="11" t="n"/>
      <x:c r="D713" s="11" t="n"/>
    </x:row>
    <x:row r="714">
      <x:c r="A714" s="11" t="n"/>
      <x:c r="B714" s="11" t="n"/>
      <x:c r="C714" s="11" t="n"/>
      <x:c r="D714" s="11" t="n"/>
    </x:row>
    <x:row r="715">
      <x:c r="A715" s="11" t="n"/>
      <x:c r="B715" s="11" t="n"/>
      <x:c r="C715" s="11" t="n"/>
      <x:c r="D715" s="11" t="n"/>
    </x:row>
    <x:row r="716">
      <x:c r="A716" s="11" t="n"/>
      <x:c r="B716" s="11" t="n"/>
      <x:c r="C716" s="11" t="n"/>
      <x:c r="D716" s="11" t="n"/>
    </x:row>
    <x:row r="717">
      <x:c r="A717" s="11" t="n"/>
      <x:c r="B717" s="11" t="n"/>
      <x:c r="C717" s="11" t="n"/>
      <x:c r="D717" s="11" t="n"/>
    </x:row>
    <x:row r="718">
      <x:c r="A718" s="11" t="n"/>
      <x:c r="B718" s="11" t="n"/>
      <x:c r="C718" s="11" t="n"/>
      <x:c r="D718" s="11" t="n"/>
    </x:row>
    <x:row r="719">
      <x:c r="A719" s="11" t="n"/>
      <x:c r="B719" s="11" t="n"/>
      <x:c r="C719" s="11" t="n"/>
      <x:c r="D719" s="11" t="n"/>
    </x:row>
    <x:row r="720">
      <x:c r="A720" s="11" t="n"/>
      <x:c r="B720" s="11" t="n"/>
      <x:c r="C720" s="11" t="n"/>
      <x:c r="D720" s="11" t="n"/>
    </x:row>
    <x:row r="721">
      <x:c r="A721" s="11" t="n"/>
      <x:c r="B721" s="11" t="n"/>
      <x:c r="C721" s="11" t="n"/>
      <x:c r="D721" s="11" t="n"/>
    </x:row>
    <x:row r="722">
      <x:c r="A722" s="11" t="n"/>
      <x:c r="B722" s="11" t="n"/>
      <x:c r="C722" s="11" t="n"/>
      <x:c r="D722" s="11" t="n"/>
    </x:row>
    <x:row r="723">
      <x:c r="A723" s="11" t="n"/>
      <x:c r="B723" s="11" t="n"/>
      <x:c r="C723" s="11" t="n"/>
      <x:c r="D723" s="11" t="n"/>
    </x:row>
    <x:row r="724">
      <x:c r="A724" s="11" t="n"/>
      <x:c r="B724" s="11" t="n"/>
      <x:c r="C724" s="11" t="n"/>
      <x:c r="D724" s="11" t="n"/>
    </x:row>
    <x:row r="725">
      <x:c r="A725" s="11" t="n"/>
      <x:c r="B725" s="11" t="n"/>
      <x:c r="C725" s="11" t="n"/>
      <x:c r="D725" s="11" t="n"/>
    </x:row>
    <x:row r="726">
      <x:c r="A726" s="11" t="n"/>
      <x:c r="B726" s="11" t="n"/>
      <x:c r="C726" s="11" t="n"/>
      <x:c r="D726" s="11" t="n"/>
    </x:row>
    <x:row r="727">
      <x:c r="A727" s="11" t="n"/>
      <x:c r="B727" s="11" t="n"/>
      <x:c r="C727" s="11" t="n"/>
      <x:c r="D727" s="11" t="n"/>
    </x:row>
    <x:row r="728">
      <x:c r="A728" s="11" t="n"/>
      <x:c r="B728" s="11" t="n"/>
      <x:c r="C728" s="11" t="n"/>
      <x:c r="D728" s="11" t="n"/>
    </x:row>
    <x:row r="729">
      <x:c r="A729" s="11" t="n"/>
      <x:c r="B729" s="11" t="n"/>
      <x:c r="C729" s="11" t="n"/>
      <x:c r="D729" s="11" t="n"/>
    </x:row>
    <x:row r="730">
      <x:c r="A730" s="11" t="n"/>
      <x:c r="B730" s="11" t="n"/>
      <x:c r="C730" s="11" t="n"/>
      <x:c r="D730" s="11" t="n"/>
    </x:row>
    <x:row r="731">
      <x:c r="A731" s="11" t="n"/>
      <x:c r="B731" s="11" t="n"/>
      <x:c r="C731" s="11" t="n"/>
      <x:c r="D731" s="11" t="n"/>
    </x:row>
    <x:row r="732">
      <x:c r="A732" s="11" t="n"/>
      <x:c r="B732" s="11" t="n"/>
      <x:c r="C732" s="11" t="n"/>
      <x:c r="D732" s="11" t="n"/>
    </x:row>
    <x:row r="733">
      <x:c r="A733" s="11" t="n"/>
      <x:c r="B733" s="11" t="n"/>
      <x:c r="C733" s="11" t="n"/>
      <x:c r="D733" s="11" t="n"/>
    </x:row>
    <x:row r="734">
      <x:c r="A734" s="11" t="n"/>
      <x:c r="B734" s="11" t="n"/>
      <x:c r="C734" s="11" t="n"/>
      <x:c r="D734" s="11" t="n"/>
    </x:row>
    <x:row r="735">
      <x:c r="A735" s="11" t="n"/>
      <x:c r="B735" s="11" t="n"/>
      <x:c r="C735" s="11" t="n"/>
      <x:c r="D735" s="11" t="n"/>
    </x:row>
    <x:row r="736">
      <x:c r="A736" s="11" t="n"/>
      <x:c r="B736" s="11" t="n"/>
      <x:c r="C736" s="11" t="n"/>
      <x:c r="D736" s="11" t="n"/>
    </x:row>
    <x:row r="737">
      <x:c r="A737" s="11" t="n"/>
      <x:c r="B737" s="11" t="n"/>
      <x:c r="C737" s="11" t="n"/>
      <x:c r="D737" s="11" t="n"/>
    </x:row>
    <x:row r="738">
      <x:c r="A738" s="11" t="n"/>
      <x:c r="B738" s="11" t="n"/>
      <x:c r="C738" s="11" t="n"/>
      <x:c r="D738" s="11" t="n"/>
    </x:row>
    <x:row r="739">
      <x:c r="A739" s="11" t="n"/>
      <x:c r="B739" s="11" t="n"/>
      <x:c r="C739" s="11" t="n"/>
      <x:c r="D739" s="11" t="n"/>
    </x:row>
    <x:row r="740">
      <x:c r="A740" s="11" t="n"/>
      <x:c r="B740" s="11" t="n"/>
      <x:c r="C740" s="11" t="n"/>
      <x:c r="D740" s="11" t="n"/>
    </x:row>
    <x:row r="741">
      <x:c r="A741" s="11" t="n"/>
      <x:c r="B741" s="11" t="n"/>
      <x:c r="C741" s="11" t="n"/>
      <x:c r="D741" s="11" t="n"/>
    </x:row>
    <x:row r="742">
      <x:c r="A742" s="11" t="n"/>
      <x:c r="B742" s="11" t="n"/>
      <x:c r="C742" s="11" t="n"/>
      <x:c r="D742" s="11" t="n"/>
    </x:row>
    <x:row r="743">
      <x:c r="A743" s="11" t="n"/>
      <x:c r="B743" s="11" t="n"/>
      <x:c r="C743" s="11" t="n"/>
      <x:c r="D743" s="11" t="n"/>
    </x:row>
    <x:row r="744">
      <x:c r="A744" s="11" t="n"/>
      <x:c r="B744" s="11" t="n"/>
      <x:c r="C744" s="11" t="n"/>
      <x:c r="D744" s="11" t="n"/>
    </x:row>
    <x:row r="745">
      <x:c r="A745" s="11" t="n"/>
      <x:c r="B745" s="11" t="n"/>
      <x:c r="C745" s="11" t="n"/>
      <x:c r="D745" s="11" t="n"/>
    </x:row>
    <x:row r="746">
      <x:c r="A746" s="11" t="n"/>
      <x:c r="B746" s="11" t="n"/>
      <x:c r="C746" s="11" t="n"/>
      <x:c r="D746" s="11" t="n"/>
    </x:row>
    <x:row r="747">
      <x:c r="A747" s="11" t="n"/>
      <x:c r="B747" s="11" t="n"/>
      <x:c r="C747" s="11" t="n"/>
      <x:c r="D747" s="11" t="n"/>
    </x:row>
    <x:row r="748">
      <x:c r="A748" s="11" t="n"/>
      <x:c r="B748" s="11" t="n"/>
      <x:c r="C748" s="11" t="n"/>
      <x:c r="D748" s="11" t="n"/>
    </x:row>
    <x:row r="749">
      <x:c r="A749" s="11" t="n"/>
      <x:c r="B749" s="11" t="n"/>
      <x:c r="C749" s="11" t="n"/>
      <x:c r="D749" s="11" t="n"/>
    </x:row>
    <x:row r="750">
      <x:c r="A750" s="11" t="n"/>
      <x:c r="B750" s="11" t="n"/>
      <x:c r="C750" s="11" t="n"/>
      <x:c r="D750" s="11" t="n"/>
    </x:row>
    <x:row r="751">
      <x:c r="A751" s="11" t="n"/>
      <x:c r="B751" s="11" t="n"/>
      <x:c r="C751" s="11" t="n"/>
      <x:c r="D751" s="11" t="n"/>
    </x:row>
    <x:row r="752">
      <x:c r="A752" s="11" t="n"/>
      <x:c r="B752" s="11" t="n"/>
      <x:c r="C752" s="11" t="n"/>
      <x:c r="D752" s="11" t="n"/>
    </x:row>
    <x:row r="753">
      <x:c r="A753" s="11" t="n"/>
      <x:c r="B753" s="11" t="n"/>
      <x:c r="C753" s="11" t="n"/>
      <x:c r="D753" s="11" t="n"/>
    </x:row>
    <x:row r="754">
      <x:c r="A754" s="11" t="n"/>
      <x:c r="B754" s="11" t="n"/>
      <x:c r="C754" s="11" t="n"/>
      <x:c r="D754" s="11" t="n"/>
    </x:row>
    <x:row r="755">
      <x:c r="A755" s="11" t="n"/>
      <x:c r="B755" s="11" t="n"/>
      <x:c r="C755" s="11" t="n"/>
      <x:c r="D755" s="11" t="n"/>
    </x:row>
    <x:row r="756">
      <x:c r="A756" s="11" t="n"/>
      <x:c r="B756" s="11" t="n"/>
      <x:c r="C756" s="11" t="n"/>
      <x:c r="D756" s="11" t="n"/>
    </x:row>
    <x:row r="757">
      <x:c r="A757" s="11" t="n"/>
      <x:c r="B757" s="11" t="n"/>
      <x:c r="C757" s="11" t="n"/>
      <x:c r="D757" s="11" t="n"/>
    </x:row>
    <x:row r="758">
      <x:c r="A758" s="11" t="n"/>
      <x:c r="B758" s="11" t="n"/>
      <x:c r="C758" s="11" t="n"/>
      <x:c r="D758" s="11" t="n"/>
    </x:row>
    <x:row r="759">
      <x:c r="A759" s="11" t="n"/>
      <x:c r="B759" s="11" t="n"/>
      <x:c r="C759" s="11" t="n"/>
      <x:c r="D759" s="11" t="n"/>
    </x:row>
    <x:row r="760">
      <x:c r="A760" s="11" t="n"/>
      <x:c r="B760" s="11" t="n"/>
      <x:c r="C760" s="11" t="n"/>
      <x:c r="D760" s="11" t="n"/>
    </x:row>
    <x:row r="761">
      <x:c r="A761" s="11" t="n"/>
      <x:c r="B761" s="11" t="n"/>
      <x:c r="C761" s="11" t="n"/>
      <x:c r="D761" s="11" t="n"/>
    </x:row>
    <x:row r="762">
      <x:c r="A762" s="11" t="n"/>
      <x:c r="B762" s="11" t="n"/>
      <x:c r="C762" s="11" t="n"/>
      <x:c r="D762" s="11" t="n"/>
    </x:row>
    <x:row r="763">
      <x:c r="A763" s="11" t="n"/>
      <x:c r="B763" s="11" t="n"/>
      <x:c r="C763" s="11" t="n"/>
      <x:c r="D763" s="11" t="n"/>
    </x:row>
    <x:row r="764">
      <x:c r="A764" s="11" t="n"/>
      <x:c r="B764" s="11" t="n"/>
      <x:c r="C764" s="11" t="n"/>
      <x:c r="D764" s="11" t="n"/>
    </x:row>
    <x:row r="765">
      <x:c r="A765" s="11" t="n"/>
      <x:c r="B765" s="11" t="n"/>
      <x:c r="C765" s="11" t="n"/>
      <x:c r="D765" s="11" t="n"/>
    </x:row>
    <x:row r="766">
      <x:c r="A766" s="11" t="n"/>
      <x:c r="B766" s="11" t="n"/>
      <x:c r="C766" s="11" t="n"/>
      <x:c r="D766" s="11" t="n"/>
    </x:row>
    <x:row r="767">
      <x:c r="A767" s="11" t="n"/>
      <x:c r="B767" s="11" t="n"/>
      <x:c r="C767" s="11" t="n"/>
      <x:c r="D767" s="11" t="n"/>
    </x:row>
    <x:row r="768">
      <x:c r="A768" s="11" t="n"/>
      <x:c r="B768" s="11" t="n"/>
      <x:c r="C768" s="11" t="n"/>
      <x:c r="D768" s="11" t="n"/>
    </x:row>
    <x:row r="769">
      <x:c r="A769" s="11" t="n"/>
      <x:c r="B769" s="11" t="n"/>
      <x:c r="C769" s="11" t="n"/>
      <x:c r="D769" s="11" t="n"/>
    </x:row>
    <x:row r="770">
      <x:c r="A770" s="11" t="n"/>
      <x:c r="B770" s="11" t="n"/>
      <x:c r="C770" s="11" t="n"/>
      <x:c r="D770" s="11" t="n"/>
    </x:row>
    <x:row r="771">
      <x:c r="A771" s="11" t="n"/>
      <x:c r="B771" s="11" t="n"/>
      <x:c r="C771" s="11" t="n"/>
      <x:c r="D771" s="11" t="n"/>
    </x:row>
    <x:row r="772">
      <x:c r="A772" s="11" t="n"/>
      <x:c r="B772" s="11" t="n"/>
      <x:c r="C772" s="11" t="n"/>
      <x:c r="D772" s="11" t="n"/>
    </x:row>
    <x:row r="773">
      <x:c r="A773" s="11" t="n"/>
      <x:c r="B773" s="11" t="n"/>
      <x:c r="C773" s="11" t="n"/>
      <x:c r="D773" s="11" t="n"/>
    </x:row>
    <x:row r="774">
      <x:c r="A774" s="11" t="n"/>
      <x:c r="B774" s="11" t="n"/>
      <x:c r="C774" s="11" t="n"/>
      <x:c r="D774" s="11" t="n"/>
    </x:row>
    <x:row r="775">
      <x:c r="A775" s="11" t="n"/>
      <x:c r="B775" s="11" t="n"/>
      <x:c r="C775" s="11" t="n"/>
      <x:c r="D775" s="11" t="n"/>
    </x:row>
    <x:row r="776">
      <x:c r="A776" s="11" t="n"/>
      <x:c r="B776" s="11" t="n"/>
      <x:c r="C776" s="11" t="n"/>
      <x:c r="D776" s="11" t="n"/>
    </x:row>
    <x:row r="777">
      <x:c r="A777" s="11" t="n"/>
      <x:c r="B777" s="11" t="n"/>
      <x:c r="C777" s="11" t="n"/>
      <x:c r="D777" s="11" t="n"/>
    </x:row>
    <x:row r="778">
      <x:c r="A778" s="11" t="n"/>
      <x:c r="B778" s="11" t="n"/>
      <x:c r="C778" s="11" t="n"/>
      <x:c r="D778" s="11" t="n"/>
    </x:row>
    <x:row r="779">
      <x:c r="A779" s="11" t="n"/>
      <x:c r="B779" s="11" t="n"/>
      <x:c r="C779" s="11" t="n"/>
      <x:c r="D779" s="11" t="n"/>
    </x:row>
    <x:row r="780">
      <x:c r="A780" s="11" t="n"/>
      <x:c r="B780" s="11" t="n"/>
      <x:c r="C780" s="11" t="n"/>
      <x:c r="D780" s="11" t="n"/>
    </x:row>
    <x:row r="781">
      <x:c r="A781" s="11" t="n"/>
      <x:c r="B781" s="11" t="n"/>
      <x:c r="C781" s="11" t="n"/>
      <x:c r="D781" s="11" t="n"/>
    </x:row>
    <x:row r="782">
      <x:c r="A782" s="11" t="n"/>
      <x:c r="B782" s="11" t="n"/>
      <x:c r="C782" s="11" t="n"/>
      <x:c r="D782" s="11" t="n"/>
    </x:row>
    <x:row r="783">
      <x:c r="A783" s="11" t="n"/>
      <x:c r="B783" s="11" t="n"/>
      <x:c r="C783" s="11" t="n"/>
      <x:c r="D783" s="11" t="n"/>
    </x:row>
    <x:row r="784">
      <x:c r="A784" s="11" t="n"/>
      <x:c r="B784" s="11" t="n"/>
      <x:c r="C784" s="11" t="n"/>
      <x:c r="D784" s="11" t="n"/>
    </x:row>
    <x:row r="785">
      <x:c r="A785" s="11" t="n"/>
      <x:c r="B785" s="11" t="n"/>
      <x:c r="C785" s="11" t="n"/>
      <x:c r="D785" s="11" t="n"/>
    </x:row>
    <x:row r="786">
      <x:c r="A786" s="11" t="n"/>
      <x:c r="B786" s="11" t="n"/>
      <x:c r="C786" s="11" t="n"/>
      <x:c r="D786" s="11" t="n"/>
    </x:row>
    <x:row r="787">
      <x:c r="A787" s="11" t="n"/>
      <x:c r="B787" s="11" t="n"/>
      <x:c r="C787" s="11" t="n"/>
      <x:c r="D787" s="11" t="n"/>
    </x:row>
    <x:row r="788">
      <x:c r="A788" s="11" t="n"/>
      <x:c r="B788" s="11" t="n"/>
      <x:c r="C788" s="11" t="n"/>
      <x:c r="D788" s="11" t="n"/>
    </x:row>
    <x:row r="789">
      <x:c r="A789" s="11" t="n"/>
      <x:c r="B789" s="11" t="n"/>
      <x:c r="C789" s="11" t="n"/>
      <x:c r="D789" s="11" t="n"/>
    </x:row>
    <x:row r="790">
      <x:c r="A790" s="11" t="n"/>
      <x:c r="B790" s="11" t="n"/>
      <x:c r="C790" s="11" t="n"/>
      <x:c r="D790" s="11" t="n"/>
    </x:row>
    <x:row r="791">
      <x:c r="A791" s="11" t="n"/>
      <x:c r="B791" s="11" t="n"/>
      <x:c r="C791" s="11" t="n"/>
      <x:c r="D791" s="11" t="n"/>
    </x:row>
    <x:row r="792">
      <x:c r="A792" s="11" t="n"/>
      <x:c r="B792" s="11" t="n"/>
      <x:c r="C792" s="11" t="n"/>
      <x:c r="D792" s="11" t="n"/>
    </x:row>
    <x:row r="793">
      <x:c r="A793" s="11" t="n"/>
      <x:c r="B793" s="11" t="n"/>
      <x:c r="C793" s="11" t="n"/>
      <x:c r="D793" s="11" t="n"/>
    </x:row>
    <x:row r="794">
      <x:c r="A794" s="11" t="n"/>
      <x:c r="B794" s="11" t="n"/>
      <x:c r="C794" s="11" t="n"/>
      <x:c r="D794" s="11" t="n"/>
    </x:row>
    <x:row r="795">
      <x:c r="A795" s="11" t="n"/>
      <x:c r="B795" s="11" t="n"/>
      <x:c r="C795" s="11" t="n"/>
      <x:c r="D795" s="11" t="n"/>
    </x:row>
    <x:row r="796">
      <x:c r="A796" s="11" t="n"/>
      <x:c r="B796" s="11" t="n"/>
      <x:c r="C796" s="11" t="n"/>
      <x:c r="D796" s="11" t="n"/>
    </x:row>
    <x:row r="797">
      <x:c r="A797" s="11" t="n"/>
      <x:c r="B797" s="11" t="n"/>
      <x:c r="C797" s="11" t="n"/>
      <x:c r="D797" s="11" t="n"/>
    </x:row>
    <x:row r="798">
      <x:c r="A798" s="11" t="n"/>
      <x:c r="B798" s="11" t="n"/>
      <x:c r="C798" s="11" t="n"/>
      <x:c r="D798" s="11" t="n"/>
    </x:row>
    <x:row r="799">
      <x:c r="A799" s="11" t="n"/>
      <x:c r="B799" s="11" t="n"/>
      <x:c r="C799" s="11" t="n"/>
      <x:c r="D799" s="11" t="n"/>
    </x:row>
    <x:row r="800">
      <x:c r="A800" s="11" t="n"/>
      <x:c r="B800" s="11" t="n"/>
      <x:c r="C800" s="11" t="n"/>
      <x:c r="D800" s="11" t="n"/>
    </x:row>
    <x:row r="801">
      <x:c r="A801" s="11" t="n"/>
      <x:c r="B801" s="11" t="n"/>
      <x:c r="C801" s="11" t="n"/>
      <x:c r="D801" s="11" t="n"/>
    </x:row>
    <x:row r="802">
      <x:c r="A802" s="11" t="n"/>
      <x:c r="B802" s="11" t="n"/>
      <x:c r="C802" s="11" t="n"/>
      <x:c r="D802" s="11" t="n"/>
    </x:row>
    <x:row r="803">
      <x:c r="A803" s="11" t="n"/>
      <x:c r="B803" s="11" t="n"/>
      <x:c r="C803" s="11" t="n"/>
      <x:c r="D803" s="11" t="n"/>
    </x:row>
    <x:row r="804">
      <x:c r="A804" s="11" t="n"/>
      <x:c r="B804" s="11" t="n"/>
      <x:c r="C804" s="11" t="n"/>
      <x:c r="D804" s="11" t="n"/>
    </x:row>
    <x:row r="805">
      <x:c r="A805" s="11" t="n"/>
      <x:c r="B805" s="11" t="n"/>
      <x:c r="C805" s="11" t="n"/>
      <x:c r="D805" s="11" t="n"/>
    </x:row>
    <x:row r="806">
      <x:c r="A806" s="11" t="n"/>
      <x:c r="B806" s="11" t="n"/>
      <x:c r="C806" s="11" t="n"/>
      <x:c r="D806" s="11" t="n"/>
    </x:row>
    <x:row r="807">
      <x:c r="A807" s="11" t="n"/>
      <x:c r="B807" s="11" t="n"/>
      <x:c r="C807" s="11" t="n"/>
      <x:c r="D807" s="11" t="n"/>
    </x:row>
    <x:row r="808">
      <x:c r="A808" s="11" t="n"/>
      <x:c r="B808" s="11" t="n"/>
      <x:c r="C808" s="11" t="n"/>
      <x:c r="D808" s="11" t="n"/>
    </x:row>
    <x:row r="809">
      <x:c r="A809" s="11" t="n"/>
      <x:c r="B809" s="11" t="n"/>
      <x:c r="C809" s="11" t="n"/>
      <x:c r="D809" s="11" t="n"/>
    </x:row>
    <x:row r="810">
      <x:c r="A810" s="11" t="n"/>
      <x:c r="B810" s="11" t="n"/>
      <x:c r="C810" s="11" t="n"/>
      <x:c r="D810" s="11" t="n"/>
    </x:row>
    <x:row r="811">
      <x:c r="A811" s="11" t="n"/>
      <x:c r="B811" s="11" t="n"/>
      <x:c r="C811" s="11" t="n"/>
      <x:c r="D811" s="11" t="n"/>
    </x:row>
    <x:row r="812">
      <x:c r="A812" s="11" t="n"/>
      <x:c r="B812" s="11" t="n"/>
      <x:c r="C812" s="11" t="n"/>
      <x:c r="D812" s="11" t="n"/>
    </x:row>
    <x:row r="813">
      <x:c r="A813" s="11" t="n"/>
      <x:c r="B813" s="11" t="n"/>
      <x:c r="C813" s="11" t="n"/>
      <x:c r="D813" s="11" t="n"/>
    </x:row>
    <x:row r="814">
      <x:c r="A814" s="11" t="n"/>
      <x:c r="B814" s="11" t="n"/>
      <x:c r="C814" s="11" t="n"/>
      <x:c r="D814" s="11" t="n"/>
    </x:row>
    <x:row r="815">
      <x:c r="A815" s="11" t="n"/>
      <x:c r="B815" s="11" t="n"/>
      <x:c r="C815" s="11" t="n"/>
      <x:c r="D815" s="11" t="n"/>
    </x:row>
    <x:row r="816">
      <x:c r="A816" s="11" t="n"/>
      <x:c r="B816" s="11" t="n"/>
      <x:c r="C816" s="11" t="n"/>
      <x:c r="D816" s="11" t="n"/>
    </x:row>
    <x:row r="817">
      <x:c r="A817" s="11" t="n"/>
      <x:c r="B817" s="11" t="n"/>
      <x:c r="C817" s="11" t="n"/>
      <x:c r="D817" s="11" t="n"/>
    </x:row>
    <x:row r="818">
      <x:c r="A818" s="11" t="n"/>
      <x:c r="B818" s="11" t="n"/>
      <x:c r="C818" s="11" t="n"/>
      <x:c r="D818" s="11" t="n"/>
    </x:row>
    <x:row r="819">
      <x:c r="A819" s="11" t="n"/>
      <x:c r="B819" s="11" t="n"/>
      <x:c r="C819" s="11" t="n"/>
      <x:c r="D819" s="11" t="n"/>
    </x:row>
    <x:row r="820">
      <x:c r="A820" s="11" t="n"/>
      <x:c r="B820" s="11" t="n"/>
      <x:c r="C820" s="11" t="n"/>
      <x:c r="D820" s="11" t="n"/>
    </x:row>
    <x:row r="821">
      <x:c r="A821" s="11" t="n"/>
      <x:c r="B821" s="11" t="n"/>
      <x:c r="C821" s="11" t="n"/>
      <x:c r="D821" s="11" t="n"/>
    </x:row>
    <x:row r="822">
      <x:c r="A822" s="11" t="n"/>
      <x:c r="B822" s="11" t="n"/>
      <x:c r="C822" s="11" t="n"/>
      <x:c r="D822" s="11" t="n"/>
    </x:row>
    <x:row r="823">
      <x:c r="A823" s="11" t="n"/>
      <x:c r="B823" s="11" t="n"/>
      <x:c r="C823" s="11" t="n"/>
      <x:c r="D823" s="11" t="n"/>
    </x:row>
    <x:row r="824">
      <x:c r="A824" s="11" t="n"/>
      <x:c r="B824" s="11" t="n"/>
      <x:c r="C824" s="11" t="n"/>
      <x:c r="D824" s="11" t="n"/>
    </x:row>
    <x:row r="825">
      <x:c r="A825" s="11" t="n"/>
      <x:c r="B825" s="11" t="n"/>
      <x:c r="C825" s="11" t="n"/>
      <x:c r="D825" s="11" t="n"/>
    </x:row>
    <x:row r="826">
      <x:c r="A826" s="11" t="n"/>
      <x:c r="B826" s="11" t="n"/>
      <x:c r="C826" s="11" t="n"/>
      <x:c r="D826" s="11" t="n"/>
    </x:row>
    <x:row r="827">
      <x:c r="A827" s="11" t="n"/>
      <x:c r="B827" s="11" t="n"/>
      <x:c r="C827" s="11" t="n"/>
      <x:c r="D827" s="11" t="n"/>
    </x:row>
    <x:row r="828">
      <x:c r="A828" s="11" t="n"/>
      <x:c r="B828" s="11" t="n"/>
      <x:c r="C828" s="11" t="n"/>
      <x:c r="D828" s="11" t="n"/>
    </x:row>
    <x:row r="829">
      <x:c r="A829" s="11" t="n"/>
      <x:c r="B829" s="11" t="n"/>
      <x:c r="C829" s="11" t="n"/>
      <x:c r="D829" s="11" t="n"/>
    </x:row>
    <x:row r="830">
      <x:c r="A830" s="11" t="n"/>
      <x:c r="B830" s="11" t="n"/>
      <x:c r="C830" s="11" t="n"/>
      <x:c r="D830" s="11" t="n"/>
    </x:row>
    <x:row r="831">
      <x:c r="A831" s="11" t="n"/>
      <x:c r="B831" s="11" t="n"/>
      <x:c r="C831" s="11" t="n"/>
      <x:c r="D831" s="11" t="n"/>
    </x:row>
    <x:row r="832">
      <x:c r="A832" s="11" t="n"/>
      <x:c r="B832" s="11" t="n"/>
      <x:c r="C832" s="11" t="n"/>
      <x:c r="D832" s="11" t="n"/>
    </x:row>
    <x:row r="833">
      <x:c r="A833" s="11" t="n"/>
      <x:c r="B833" s="11" t="n"/>
      <x:c r="C833" s="11" t="n"/>
      <x:c r="D833" s="11" t="n"/>
    </x:row>
    <x:row r="834">
      <x:c r="A834" s="11" t="n"/>
      <x:c r="B834" s="11" t="n"/>
      <x:c r="C834" s="11" t="n"/>
      <x:c r="D834" s="11" t="n"/>
    </x:row>
    <x:row r="835">
      <x:c r="A835" s="11" t="n"/>
      <x:c r="B835" s="11" t="n"/>
      <x:c r="C835" s="11" t="n"/>
      <x:c r="D835" s="11" t="n"/>
    </x:row>
    <x:row r="836">
      <x:c r="A836" s="11" t="n"/>
      <x:c r="B836" s="11" t="n"/>
      <x:c r="C836" s="11" t="n"/>
      <x:c r="D836" s="11" t="n"/>
    </x:row>
    <x:row r="837">
      <x:c r="A837" s="11" t="n"/>
      <x:c r="B837" s="11" t="n"/>
      <x:c r="C837" s="11" t="n"/>
      <x:c r="D837" s="11" t="n"/>
    </x:row>
    <x:row r="838">
      <x:c r="A838" s="11" t="n"/>
      <x:c r="B838" s="11" t="n"/>
      <x:c r="C838" s="11" t="n"/>
      <x:c r="D838" s="11" t="n"/>
    </x:row>
    <x:row r="839">
      <x:c r="A839" s="11" t="n"/>
      <x:c r="B839" s="11" t="n"/>
      <x:c r="C839" s="11" t="n"/>
      <x:c r="D839" s="11" t="n"/>
    </x:row>
    <x:row r="840">
      <x:c r="A840" s="11" t="n"/>
      <x:c r="B840" s="11" t="n"/>
      <x:c r="C840" s="11" t="n"/>
      <x:c r="D840" s="11" t="n"/>
    </x:row>
    <x:row r="841">
      <x:c r="A841" s="11" t="n"/>
      <x:c r="B841" s="11" t="n"/>
      <x:c r="C841" s="11" t="n"/>
      <x:c r="D841" s="11" t="n"/>
    </x:row>
    <x:row r="842">
      <x:c r="A842" s="11" t="n"/>
      <x:c r="B842" s="11" t="n"/>
      <x:c r="C842" s="11" t="n"/>
      <x:c r="D842" s="11" t="n"/>
    </x:row>
    <x:row r="843">
      <x:c r="A843" s="11" t="n"/>
      <x:c r="B843" s="11" t="n"/>
      <x:c r="C843" s="11" t="n"/>
      <x:c r="D843" s="11" t="n"/>
    </x:row>
    <x:row r="844">
      <x:c r="A844" s="11" t="n"/>
      <x:c r="B844" s="11" t="n"/>
      <x:c r="C844" s="11" t="n"/>
      <x:c r="D844" s="11" t="n"/>
    </x:row>
    <x:row r="845">
      <x:c r="A845" s="11" t="n"/>
      <x:c r="B845" s="11" t="n"/>
      <x:c r="C845" s="11" t="n"/>
      <x:c r="D845" s="11" t="n"/>
    </x:row>
    <x:row r="846">
      <x:c r="A846" s="11" t="n"/>
      <x:c r="B846" s="11" t="n"/>
      <x:c r="C846" s="11" t="n"/>
      <x:c r="D846" s="11" t="n"/>
    </x:row>
    <x:row r="847">
      <x:c r="A847" s="11" t="n"/>
      <x:c r="B847" s="11" t="n"/>
      <x:c r="C847" s="11" t="n"/>
      <x:c r="D847" s="11" t="n"/>
    </x:row>
    <x:row r="848">
      <x:c r="A848" s="11" t="n"/>
      <x:c r="B848" s="11" t="n"/>
      <x:c r="C848" s="11" t="n"/>
      <x:c r="D848" s="11" t="n"/>
    </x:row>
    <x:row r="849">
      <x:c r="A849" s="11" t="n"/>
      <x:c r="B849" s="11" t="n"/>
      <x:c r="C849" s="11" t="n"/>
      <x:c r="D849" s="11" t="n"/>
    </x:row>
    <x:row r="850">
      <x:c r="A850" s="11" t="n"/>
      <x:c r="B850" s="11" t="n"/>
      <x:c r="C850" s="11" t="n"/>
      <x:c r="D850" s="11" t="n"/>
    </x:row>
    <x:row r="851">
      <x:c r="A851" s="11" t="n"/>
      <x:c r="B851" s="11" t="n"/>
      <x:c r="C851" s="11" t="n"/>
      <x:c r="D851" s="11" t="n"/>
    </x:row>
    <x:row r="852">
      <x:c r="A852" s="11" t="n"/>
      <x:c r="B852" s="11" t="n"/>
      <x:c r="C852" s="11" t="n"/>
      <x:c r="D852" s="11" t="n"/>
    </x:row>
    <x:row r="853">
      <x:c r="A853" s="11" t="n"/>
      <x:c r="B853" s="11" t="n"/>
      <x:c r="C853" s="11" t="n"/>
      <x:c r="D853" s="11" t="n"/>
    </x:row>
    <x:row r="854">
      <x:c r="A854" s="11" t="n"/>
      <x:c r="B854" s="11" t="n"/>
      <x:c r="C854" s="11" t="n"/>
      <x:c r="D854" s="11" t="n"/>
    </x:row>
    <x:row r="855">
      <x:c r="A855" s="11" t="n"/>
      <x:c r="B855" s="11" t="n"/>
      <x:c r="C855" s="11" t="n"/>
      <x:c r="D855" s="11" t="n"/>
    </x:row>
    <x:row r="856">
      <x:c r="A856" s="11" t="n"/>
      <x:c r="B856" s="11" t="n"/>
      <x:c r="C856" s="11" t="n"/>
      <x:c r="D856" s="11" t="n"/>
    </x:row>
    <x:row r="857">
      <x:c r="A857" s="11" t="n"/>
      <x:c r="B857" s="11" t="n"/>
      <x:c r="C857" s="11" t="n"/>
      <x:c r="D857" s="11" t="n"/>
    </x:row>
    <x:row r="858">
      <x:c r="A858" s="11" t="n"/>
      <x:c r="B858" s="11" t="n"/>
      <x:c r="C858" s="11" t="n"/>
      <x:c r="D858" s="11" t="n"/>
    </x:row>
    <x:row r="859">
      <x:c r="A859" s="11" t="n"/>
      <x:c r="B859" s="11" t="n"/>
      <x:c r="C859" s="11" t="n"/>
      <x:c r="D859" s="11" t="n"/>
    </x:row>
    <x:row r="860">
      <x:c r="A860" s="11" t="n"/>
      <x:c r="B860" s="11" t="n"/>
      <x:c r="C860" s="11" t="n"/>
      <x:c r="D860" s="11" t="n"/>
    </x:row>
    <x:row r="861">
      <x:c r="A861" s="11" t="n"/>
      <x:c r="B861" s="11" t="n"/>
      <x:c r="C861" s="11" t="n"/>
      <x:c r="D861" s="11" t="n"/>
    </x:row>
    <x:row r="862">
      <x:c r="A862" s="11" t="n"/>
      <x:c r="B862" s="11" t="n"/>
      <x:c r="C862" s="11" t="n"/>
      <x:c r="D862" s="11" t="n"/>
    </x:row>
    <x:row r="863">
      <x:c r="A863" s="11" t="n"/>
      <x:c r="B863" s="11" t="n"/>
      <x:c r="C863" s="11" t="n"/>
      <x:c r="D863" s="11" t="n"/>
    </x:row>
    <x:row r="864">
      <x:c r="A864" s="11" t="n"/>
      <x:c r="B864" s="11" t="n"/>
      <x:c r="C864" s="11" t="n"/>
      <x:c r="D864" s="11" t="n"/>
    </x:row>
    <x:row r="865">
      <x:c r="A865" s="11" t="n"/>
      <x:c r="B865" s="11" t="n"/>
      <x:c r="C865" s="11" t="n"/>
      <x:c r="D865" s="11" t="n"/>
    </x:row>
    <x:row r="866">
      <x:c r="A866" s="11" t="n"/>
      <x:c r="B866" s="11" t="n"/>
      <x:c r="C866" s="11" t="n"/>
      <x:c r="D866" s="11" t="n"/>
    </x:row>
    <x:row r="867">
      <x:c r="A867" s="11" t="n"/>
      <x:c r="B867" s="11" t="n"/>
      <x:c r="C867" s="11" t="n"/>
      <x:c r="D867" s="11" t="n"/>
    </x:row>
    <x:row r="868">
      <x:c r="A868" s="11" t="n"/>
      <x:c r="B868" s="11" t="n"/>
      <x:c r="C868" s="11" t="n"/>
      <x:c r="D868" s="11" t="n"/>
    </x:row>
    <x:row r="869">
      <x:c r="A869" s="11" t="n"/>
      <x:c r="B869" s="11" t="n"/>
      <x:c r="C869" s="11" t="n"/>
      <x:c r="D869" s="11" t="n"/>
    </x:row>
    <x:row r="870">
      <x:c r="A870" s="11" t="n"/>
      <x:c r="B870" s="11" t="n"/>
      <x:c r="C870" s="11" t="n"/>
      <x:c r="D870" s="11" t="n"/>
    </x:row>
    <x:row r="871">
      <x:c r="A871" s="11" t="n"/>
      <x:c r="B871" s="11" t="n"/>
      <x:c r="C871" s="11" t="n"/>
      <x:c r="D871" s="11" t="n"/>
    </x:row>
    <x:row r="872">
      <x:c r="A872" s="11" t="n"/>
      <x:c r="B872" s="11" t="n"/>
      <x:c r="C872" s="11" t="n"/>
      <x:c r="D872" s="11" t="n"/>
    </x:row>
    <x:row r="873">
      <x:c r="A873" s="11" t="n"/>
      <x:c r="B873" s="11" t="n"/>
      <x:c r="C873" s="11" t="n"/>
      <x:c r="D873" s="11" t="n"/>
    </x:row>
    <x:row r="874">
      <x:c r="A874" s="11" t="n"/>
      <x:c r="B874" s="11" t="n"/>
      <x:c r="C874" s="11" t="n"/>
      <x:c r="D874" s="11" t="n"/>
    </x:row>
    <x:row r="875">
      <x:c r="A875" s="11" t="n"/>
      <x:c r="B875" s="11" t="n"/>
      <x:c r="C875" s="11" t="n"/>
      <x:c r="D875" s="11" t="n"/>
    </x:row>
    <x:row r="876">
      <x:c r="A876" s="11" t="n"/>
      <x:c r="B876" s="11" t="n"/>
      <x:c r="C876" s="11" t="n"/>
      <x:c r="D876" s="11" t="n"/>
    </x:row>
    <x:row r="877">
      <x:c r="A877" s="11" t="n"/>
      <x:c r="B877" s="11" t="n"/>
      <x:c r="C877" s="11" t="n"/>
      <x:c r="D877" s="11" t="n"/>
    </x:row>
    <x:row r="878">
      <x:c r="A878" s="11" t="n"/>
      <x:c r="B878" s="11" t="n"/>
      <x:c r="C878" s="11" t="n"/>
      <x:c r="D878" s="11" t="n"/>
    </x:row>
    <x:row r="879">
      <x:c r="A879" s="11" t="n"/>
      <x:c r="B879" s="11" t="n"/>
      <x:c r="C879" s="11" t="n"/>
      <x:c r="D879" s="11" t="n"/>
    </x:row>
    <x:row r="880">
      <x:c r="A880" s="11" t="n"/>
      <x:c r="B880" s="11" t="n"/>
      <x:c r="C880" s="11" t="n"/>
      <x:c r="D880" s="11" t="n"/>
    </x:row>
    <x:row r="881">
      <x:c r="A881" s="11" t="n"/>
      <x:c r="B881" s="11" t="n"/>
      <x:c r="C881" s="11" t="n"/>
      <x:c r="D881" s="11" t="n"/>
    </x:row>
    <x:row r="882">
      <x:c r="A882" s="11" t="n"/>
      <x:c r="B882" s="11" t="n"/>
      <x:c r="C882" s="11" t="n"/>
      <x:c r="D882" s="11" t="n"/>
    </x:row>
    <x:row r="883">
      <x:c r="A883" s="11" t="n"/>
      <x:c r="B883" s="11" t="n"/>
      <x:c r="C883" s="11" t="n"/>
      <x:c r="D883" s="11" t="n"/>
    </x:row>
    <x:row r="884">
      <x:c r="A884" s="11" t="n"/>
      <x:c r="B884" s="11" t="n"/>
      <x:c r="C884" s="11" t="n"/>
      <x:c r="D884" s="11" t="n"/>
    </x:row>
    <x:row r="885">
      <x:c r="A885" s="11" t="n"/>
      <x:c r="B885" s="11" t="n"/>
      <x:c r="C885" s="11" t="n"/>
      <x:c r="D885" s="11" t="n"/>
    </x:row>
    <x:row r="886">
      <x:c r="A886" s="11" t="n"/>
      <x:c r="B886" s="11" t="n"/>
      <x:c r="C886" s="11" t="n"/>
      <x:c r="D886" s="11" t="n"/>
    </x:row>
    <x:row r="887">
      <x:c r="A887" s="11" t="n"/>
      <x:c r="B887" s="11" t="n"/>
      <x:c r="C887" s="11" t="n"/>
      <x:c r="D887" s="11" t="n"/>
    </x:row>
    <x:row r="888">
      <x:c r="A888" s="11" t="n"/>
      <x:c r="B888" s="11" t="n"/>
      <x:c r="C888" s="11" t="n"/>
      <x:c r="D888" s="11" t="n"/>
    </x:row>
    <x:row r="889">
      <x:c r="A889" s="11" t="n"/>
      <x:c r="B889" s="11" t="n"/>
      <x:c r="C889" s="11" t="n"/>
      <x:c r="D889" s="11" t="n"/>
    </x:row>
    <x:row r="890">
      <x:c r="A890" s="11" t="n"/>
      <x:c r="B890" s="11" t="n"/>
      <x:c r="C890" s="11" t="n"/>
      <x:c r="D890" s="11" t="n"/>
    </x:row>
    <x:row r="891">
      <x:c r="A891" s="11" t="n"/>
      <x:c r="B891" s="11" t="n"/>
      <x:c r="C891" s="11" t="n"/>
      <x:c r="D891" s="11" t="n"/>
    </x:row>
    <x:row r="892">
      <x:c r="A892" s="11" t="n"/>
      <x:c r="B892" s="11" t="n"/>
      <x:c r="C892" s="11" t="n"/>
      <x:c r="D892" s="11" t="n"/>
    </x:row>
    <x:row r="893">
      <x:c r="A893" s="11" t="n"/>
      <x:c r="B893" s="11" t="n"/>
      <x:c r="C893" s="11" t="n"/>
      <x:c r="D893" s="11" t="n"/>
    </x:row>
    <x:row r="894">
      <x:c r="A894" s="11" t="n"/>
      <x:c r="B894" s="11" t="n"/>
      <x:c r="C894" s="11" t="n"/>
      <x:c r="D894" s="11" t="n"/>
    </x:row>
    <x:row r="895">
      <x:c r="A895" s="11" t="n"/>
      <x:c r="B895" s="11" t="n"/>
      <x:c r="C895" s="11" t="n"/>
      <x:c r="D895" s="11" t="n"/>
    </x:row>
    <x:row r="896">
      <x:c r="A896" s="11" t="n"/>
      <x:c r="B896" s="11" t="n"/>
      <x:c r="C896" s="11" t="n"/>
      <x:c r="D896" s="11" t="n"/>
    </x:row>
    <x:row r="897">
      <x:c r="A897" s="11" t="n"/>
      <x:c r="B897" s="11" t="n"/>
      <x:c r="C897" s="11" t="n"/>
      <x:c r="D897" s="11" t="n"/>
    </x:row>
    <x:row r="898">
      <x:c r="A898" s="11" t="n"/>
      <x:c r="B898" s="11" t="n"/>
      <x:c r="C898" s="11" t="n"/>
      <x:c r="D898" s="11" t="n"/>
    </x:row>
    <x:row r="899">
      <x:c r="A899" s="11" t="n"/>
      <x:c r="B899" s="11" t="n"/>
      <x:c r="C899" s="11" t="n"/>
      <x:c r="D899" s="11" t="n"/>
    </x:row>
    <x:row r="900">
      <x:c r="A900" s="11" t="n"/>
      <x:c r="B900" s="11" t="n"/>
      <x:c r="C900" s="11" t="n"/>
      <x:c r="D900" s="11" t="n"/>
    </x:row>
    <x:row r="901">
      <x:c r="A901" s="11" t="n"/>
      <x:c r="B901" s="11" t="n"/>
      <x:c r="C901" s="11" t="n"/>
      <x:c r="D901" s="11" t="n"/>
    </x:row>
    <x:row r="902">
      <x:c r="A902" s="11" t="n"/>
      <x:c r="B902" s="11" t="n"/>
      <x:c r="C902" s="11" t="n"/>
      <x:c r="D902" s="11" t="n"/>
    </x:row>
    <x:row r="903">
      <x:c r="A903" s="11" t="n"/>
      <x:c r="B903" s="11" t="n"/>
      <x:c r="C903" s="11" t="n"/>
      <x:c r="D903" s="11" t="n"/>
    </x:row>
    <x:row r="904">
      <x:c r="A904" s="11" t="n"/>
      <x:c r="B904" s="11" t="n"/>
      <x:c r="C904" s="11" t="n"/>
      <x:c r="D904" s="11" t="n"/>
    </x:row>
    <x:row r="905">
      <x:c r="A905" s="11" t="n"/>
      <x:c r="B905" s="11" t="n"/>
      <x:c r="C905" s="11" t="n"/>
      <x:c r="D905" s="11" t="n"/>
    </x:row>
    <x:row r="906">
      <x:c r="A906" s="11" t="n"/>
      <x:c r="B906" s="11" t="n"/>
      <x:c r="C906" s="11" t="n"/>
      <x:c r="D906" s="11" t="n"/>
    </x:row>
    <x:row r="907">
      <x:c r="A907" s="11" t="n"/>
      <x:c r="B907" s="11" t="n"/>
      <x:c r="C907" s="11" t="n"/>
      <x:c r="D907" s="11" t="n"/>
    </x:row>
    <x:row r="908">
      <x:c r="A908" s="11" t="n"/>
      <x:c r="B908" s="11" t="n"/>
      <x:c r="C908" s="11" t="n"/>
      <x:c r="D908" s="11" t="n"/>
    </x:row>
    <x:row r="909">
      <x:c r="A909" s="11" t="n"/>
      <x:c r="B909" s="11" t="n"/>
      <x:c r="C909" s="11" t="n"/>
      <x:c r="D909" s="11" t="n"/>
    </x:row>
    <x:row r="910">
      <x:c r="A910" s="11" t="n"/>
      <x:c r="B910" s="11" t="n"/>
      <x:c r="C910" s="11" t="n"/>
      <x:c r="D910" s="11" t="n"/>
    </x:row>
    <x:row r="911">
      <x:c r="A911" s="11" t="n"/>
      <x:c r="B911" s="11" t="n"/>
      <x:c r="C911" s="11" t="n"/>
      <x:c r="D911" s="11" t="n"/>
    </x:row>
    <x:row r="912">
      <x:c r="A912" s="11" t="n"/>
      <x:c r="B912" s="11" t="n"/>
      <x:c r="C912" s="11" t="n"/>
      <x:c r="D912" s="11" t="n"/>
    </x:row>
    <x:row r="913">
      <x:c r="A913" s="11" t="n"/>
      <x:c r="B913" s="11" t="n"/>
      <x:c r="C913" s="11" t="n"/>
      <x:c r="D913" s="11" t="n"/>
    </x:row>
    <x:row r="914">
      <x:c r="A914" s="11" t="n"/>
      <x:c r="B914" s="11" t="n"/>
      <x:c r="C914" s="11" t="n"/>
      <x:c r="D914" s="11" t="n"/>
    </x:row>
    <x:row r="915">
      <x:c r="A915" s="11" t="n"/>
      <x:c r="B915" s="11" t="n"/>
      <x:c r="C915" s="11" t="n"/>
      <x:c r="D915" s="11" t="n"/>
    </x:row>
    <x:row r="916">
      <x:c r="A916" s="11" t="n"/>
      <x:c r="B916" s="11" t="n"/>
      <x:c r="C916" s="11" t="n"/>
      <x:c r="D916" s="11" t="n"/>
    </x:row>
    <x:row r="917">
      <x:c r="A917" s="11" t="n"/>
      <x:c r="B917" s="11" t="n"/>
      <x:c r="C917" s="11" t="n"/>
      <x:c r="D917" s="11" t="n"/>
    </x:row>
    <x:row r="918">
      <x:c r="A918" s="11" t="n"/>
      <x:c r="B918" s="11" t="n"/>
      <x:c r="C918" s="11" t="n"/>
      <x:c r="D918" s="11" t="n"/>
    </x:row>
    <x:row r="919">
      <x:c r="A919" s="11" t="n"/>
      <x:c r="B919" s="11" t="n"/>
      <x:c r="C919" s="11" t="n"/>
      <x:c r="D919" s="11" t="n"/>
    </x:row>
    <x:row r="920">
      <x:c r="A920" s="11" t="n"/>
      <x:c r="B920" s="11" t="n"/>
      <x:c r="C920" s="11" t="n"/>
      <x:c r="D920" s="11" t="n"/>
    </x:row>
    <x:row r="921">
      <x:c r="A921" s="11" t="n"/>
      <x:c r="B921" s="11" t="n"/>
      <x:c r="C921" s="11" t="n"/>
      <x:c r="D921" s="11" t="n"/>
    </x:row>
    <x:row r="922">
      <x:c r="A922" s="11" t="n"/>
      <x:c r="B922" s="11" t="n"/>
      <x:c r="C922" s="11" t="n"/>
      <x:c r="D922" s="11" t="n"/>
    </x:row>
    <x:row r="923">
      <x:c r="A923" s="11" t="n"/>
      <x:c r="B923" s="11" t="n"/>
      <x:c r="C923" s="11" t="n"/>
      <x:c r="D923" s="11" t="n"/>
    </x:row>
    <x:row r="924">
      <x:c r="A924" s="11" t="n"/>
      <x:c r="B924" s="11" t="n"/>
      <x:c r="C924" s="11" t="n"/>
      <x:c r="D924" s="11" t="n"/>
    </x:row>
    <x:row r="925">
      <x:c r="A925" s="11" t="n"/>
      <x:c r="B925" s="11" t="n"/>
      <x:c r="C925" s="11" t="n"/>
      <x:c r="D925" s="11" t="n"/>
    </x:row>
    <x:row r="926">
      <x:c r="A926" s="11" t="n"/>
      <x:c r="B926" s="11" t="n"/>
      <x:c r="C926" s="11" t="n"/>
      <x:c r="D926" s="11" t="n"/>
    </x:row>
    <x:row r="927">
      <x:c r="A927" s="11" t="n"/>
      <x:c r="B927" s="11" t="n"/>
      <x:c r="C927" s="11" t="n"/>
      <x:c r="D927" s="11" t="n"/>
    </x:row>
    <x:row r="928">
      <x:c r="A928" s="11" t="n"/>
      <x:c r="B928" s="11" t="n"/>
      <x:c r="C928" s="11" t="n"/>
      <x:c r="D928" s="11" t="n"/>
    </x:row>
    <x:row r="929">
      <x:c r="A929" s="11" t="n"/>
      <x:c r="B929" s="11" t="n"/>
      <x:c r="C929" s="11" t="n"/>
      <x:c r="D929" s="11" t="n"/>
    </x:row>
    <x:row r="930">
      <x:c r="A930" s="11" t="n"/>
      <x:c r="B930" s="11" t="n"/>
      <x:c r="C930" s="11" t="n"/>
      <x:c r="D930" s="11" t="n"/>
    </x:row>
    <x:row r="931">
      <x:c r="A931" s="11" t="n"/>
      <x:c r="B931" s="11" t="n"/>
      <x:c r="C931" s="11" t="n"/>
      <x:c r="D931" s="11" t="n"/>
    </x:row>
    <x:row r="932">
      <x:c r="A932" s="11" t="n"/>
      <x:c r="B932" s="11" t="n"/>
      <x:c r="C932" s="11" t="n"/>
      <x:c r="D932" s="11" t="n"/>
    </x:row>
    <x:row r="933">
      <x:c r="A933" s="11" t="n"/>
      <x:c r="B933" s="11" t="n"/>
      <x:c r="C933" s="11" t="n"/>
      <x:c r="D933" s="11" t="n"/>
    </x:row>
    <x:row r="934">
      <x:c r="A934" s="11" t="n"/>
      <x:c r="B934" s="11" t="n"/>
      <x:c r="C934" s="11" t="n"/>
      <x:c r="D934" s="11" t="n"/>
    </x:row>
    <x:row r="935">
      <x:c r="A935" s="11" t="n"/>
      <x:c r="B935" s="11" t="n"/>
      <x:c r="C935" s="11" t="n"/>
      <x:c r="D935" s="11" t="n"/>
    </x:row>
    <x:row r="936">
      <x:c r="A936" s="11" t="n"/>
      <x:c r="B936" s="11" t="n"/>
      <x:c r="C936" s="11" t="n"/>
      <x:c r="D936" s="11" t="n"/>
    </x:row>
    <x:row r="937">
      <x:c r="A937" s="11" t="n"/>
      <x:c r="B937" s="11" t="n"/>
      <x:c r="C937" s="11" t="n"/>
      <x:c r="D937" s="11" t="n"/>
    </x:row>
    <x:row r="938">
      <x:c r="A938" s="11" t="n"/>
      <x:c r="B938" s="11" t="n"/>
      <x:c r="C938" s="11" t="n"/>
      <x:c r="D938" s="11" t="n"/>
    </x:row>
    <x:row r="939">
      <x:c r="A939" s="11" t="n"/>
      <x:c r="B939" s="11" t="n"/>
      <x:c r="C939" s="11" t="n"/>
      <x:c r="D939" s="11" t="n"/>
    </x:row>
    <x:row r="940">
      <x:c r="A940" s="11" t="n"/>
      <x:c r="B940" s="11" t="n"/>
      <x:c r="C940" s="11" t="n"/>
      <x:c r="D940" s="11" t="n"/>
    </x:row>
    <x:row r="941">
      <x:c r="A941" s="11" t="n"/>
      <x:c r="B941" s="11" t="n"/>
      <x:c r="C941" s="11" t="n"/>
      <x:c r="D941" s="11" t="n"/>
    </x:row>
    <x:row r="942">
      <x:c r="A942" s="11" t="n"/>
      <x:c r="B942" s="11" t="n"/>
      <x:c r="C942" s="11" t="n"/>
      <x:c r="D942" s="11" t="n"/>
    </x:row>
    <x:row r="943">
      <x:c r="A943" s="11" t="n"/>
      <x:c r="B943" s="11" t="n"/>
      <x:c r="C943" s="11" t="n"/>
      <x:c r="D943" s="11" t="n"/>
    </x:row>
    <x:row r="944">
      <x:c r="A944" s="11" t="n"/>
      <x:c r="B944" s="11" t="n"/>
      <x:c r="C944" s="11" t="n"/>
      <x:c r="D944" s="11" t="n"/>
    </x:row>
    <x:row r="945">
      <x:c r="A945" s="11" t="n"/>
      <x:c r="B945" s="11" t="n"/>
      <x:c r="C945" s="11" t="n"/>
      <x:c r="D945" s="11" t="n"/>
    </x:row>
    <x:row r="946">
      <x:c r="A946" s="11" t="n"/>
      <x:c r="B946" s="11" t="n"/>
      <x:c r="C946" s="11" t="n"/>
      <x:c r="D946" s="11" t="n"/>
    </x:row>
    <x:row r="947">
      <x:c r="A947" s="11" t="n"/>
      <x:c r="B947" s="11" t="n"/>
      <x:c r="C947" s="11" t="n"/>
      <x:c r="D947" s="11" t="n"/>
    </x:row>
    <x:row r="948">
      <x:c r="A948" s="11" t="n"/>
      <x:c r="B948" s="11" t="n"/>
      <x:c r="C948" s="11" t="n"/>
      <x:c r="D948" s="11" t="n"/>
    </x:row>
    <x:row r="949">
      <x:c r="A949" s="11" t="n"/>
      <x:c r="B949" s="11" t="n"/>
      <x:c r="C949" s="11" t="n"/>
      <x:c r="D949" s="11" t="n"/>
    </x:row>
    <x:row r="950">
      <x:c r="A950" s="11" t="n"/>
      <x:c r="B950" s="11" t="n"/>
      <x:c r="C950" s="11" t="n"/>
      <x:c r="D950" s="11" t="n"/>
    </x:row>
    <x:row r="951">
      <x:c r="A951" s="11" t="n"/>
      <x:c r="B951" s="11" t="n"/>
      <x:c r="C951" s="11" t="n"/>
      <x:c r="D951" s="11" t="n"/>
    </x:row>
    <x:row r="952">
      <x:c r="A952" s="11" t="n"/>
      <x:c r="B952" s="11" t="n"/>
      <x:c r="C952" s="11" t="n"/>
      <x:c r="D952" s="11" t="n"/>
    </x:row>
    <x:row r="953">
      <x:c r="A953" s="11" t="n"/>
      <x:c r="B953" s="11" t="n"/>
      <x:c r="C953" s="11" t="n"/>
      <x:c r="D953" s="11" t="n"/>
    </x:row>
    <x:row r="954">
      <x:c r="A954" s="11" t="n"/>
      <x:c r="B954" s="11" t="n"/>
      <x:c r="C954" s="11" t="n"/>
      <x:c r="D954" s="11" t="n"/>
    </x:row>
    <x:row r="955">
      <x:c r="A955" s="11" t="n"/>
      <x:c r="B955" s="11" t="n"/>
      <x:c r="C955" s="11" t="n"/>
      <x:c r="D955" s="11" t="n"/>
    </x:row>
    <x:row r="956">
      <x:c r="A956" s="11" t="n"/>
      <x:c r="B956" s="11" t="n"/>
      <x:c r="C956" s="11" t="n"/>
      <x:c r="D956" s="11" t="n"/>
    </x:row>
    <x:row r="957">
      <x:c r="A957" s="11" t="n"/>
      <x:c r="B957" s="11" t="n"/>
      <x:c r="C957" s="11" t="n"/>
      <x:c r="D957" s="11" t="n"/>
    </x:row>
    <x:row r="958">
      <x:c r="A958" s="11" t="n"/>
      <x:c r="B958" s="11" t="n"/>
      <x:c r="C958" s="11" t="n"/>
      <x:c r="D958" s="11" t="n"/>
    </x:row>
    <x:row r="959">
      <x:c r="A959" s="11" t="n"/>
      <x:c r="B959" s="11" t="n"/>
      <x:c r="C959" s="11" t="n"/>
      <x:c r="D959" s="11" t="n"/>
    </x:row>
    <x:row r="960">
      <x:c r="A960" s="11" t="n"/>
      <x:c r="B960" s="11" t="n"/>
      <x:c r="C960" s="11" t="n"/>
      <x:c r="D960" s="11" t="n"/>
    </x:row>
    <x:row r="961">
      <x:c r="A961" s="11" t="n"/>
      <x:c r="B961" s="11" t="n"/>
      <x:c r="C961" s="11" t="n"/>
      <x:c r="D961" s="11" t="n"/>
    </x:row>
    <x:row r="962">
      <x:c r="A962" s="11" t="n"/>
      <x:c r="B962" s="11" t="n"/>
      <x:c r="C962" s="11" t="n"/>
      <x:c r="D962" s="11" t="n"/>
    </x:row>
    <x:row r="963">
      <x:c r="A963" s="11" t="n"/>
      <x:c r="B963" s="11" t="n"/>
      <x:c r="C963" s="11" t="n"/>
      <x:c r="D963" s="11" t="n"/>
    </x:row>
    <x:row r="964">
      <x:c r="A964" s="11" t="n"/>
      <x:c r="B964" s="11" t="n"/>
      <x:c r="C964" s="11" t="n"/>
      <x:c r="D964" s="11" t="n"/>
    </x:row>
    <x:row r="965">
      <x:c r="A965" s="11" t="n"/>
      <x:c r="B965" s="11" t="n"/>
      <x:c r="C965" s="11" t="n"/>
      <x:c r="D965" s="11" t="n"/>
    </x:row>
    <x:row r="966">
      <x:c r="A966" s="11" t="n"/>
      <x:c r="B966" s="11" t="n"/>
      <x:c r="C966" s="11" t="n"/>
      <x:c r="D966" s="11" t="n"/>
    </x:row>
    <x:row r="967">
      <x:c r="A967" s="11" t="n"/>
      <x:c r="B967" s="11" t="n"/>
      <x:c r="C967" s="11" t="n"/>
      <x:c r="D967" s="11" t="n"/>
    </x:row>
    <x:row r="968">
      <x:c r="A968" s="11" t="n"/>
      <x:c r="B968" s="11" t="n"/>
      <x:c r="C968" s="11" t="n"/>
      <x:c r="D968" s="11" t="n"/>
    </x:row>
    <x:row r="969">
      <x:c r="A969" s="11" t="n"/>
      <x:c r="B969" s="11" t="n"/>
      <x:c r="C969" s="11" t="n"/>
      <x:c r="D969" s="11" t="n"/>
    </x:row>
    <x:row r="970">
      <x:c r="A970" s="11" t="n"/>
      <x:c r="B970" s="11" t="n"/>
      <x:c r="C970" s="11" t="n"/>
      <x:c r="D970" s="11" t="n"/>
    </x:row>
    <x:row r="971">
      <x:c r="A971" s="11" t="n"/>
      <x:c r="B971" s="11" t="n"/>
      <x:c r="C971" s="11" t="n"/>
      <x:c r="D971" s="11" t="n"/>
    </x:row>
    <x:row r="972">
      <x:c r="A972" s="11" t="n"/>
      <x:c r="B972" s="11" t="n"/>
      <x:c r="C972" s="11" t="n"/>
      <x:c r="D972" s="11" t="n"/>
    </x:row>
  </x:sheetData>
  <x:conditionalFormatting sqref="A9:E27 A33:D94 E33:E58 E62:E78">
    <x:cfRule type="expression" dxfId="5" priority="1">
      <x:formula>$E9="Ok"</x:formula>
    </x:cfRule>
    <x:cfRule type="cellIs" dxfId="6" priority="2" operator="equal">
      <x:formula>$E9="Nok"</x:formula>
    </x:cfRule>
  </x:conditionalFormatting>
  <x:dataValidations count="1">
    <x:dataValidation type="list" allowBlank="1" showDropDown="0" showInputMessage="0" showErrorMessage="0" sqref="E9:E27 E33:E58 E63:E78">
      <x:formula1>"Ok,Nok"</x:formula1>
    </x:dataValidation>
  </x:dataValidations>
  <x:pageMargins left="0.7" right="0.7" top="0.75" bottom="0.75" header="0.3" footer="0.3"/>
  <x:tableParts count="3">
    <x:tablePart xmlns:r="http://schemas.openxmlformats.org/officeDocument/2006/relationships" r:id="Rdaa0f05777a54781"/>
    <x:tablePart xmlns:r="http://schemas.openxmlformats.org/officeDocument/2006/relationships" r:id="Rf1b6fd626cb74516"/>
    <x:tablePart xmlns:r="http://schemas.openxmlformats.org/officeDocument/2006/relationships" r:id="R77f98929b8ea4206"/>
  </x:tableParts>
</x:worksheet>
</file>